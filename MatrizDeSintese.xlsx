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6ED62A9FA887457F/UFU/11 º Período/TCC/"/>
    </mc:Choice>
  </mc:AlternateContent>
  <xr:revisionPtr revIDLastSave="355" documentId="8_{D8183B8D-91CF-4512-96EA-4DFE535B469C}" xr6:coauthVersionLast="47" xr6:coauthVersionMax="47" xr10:uidLastSave="{0B141E09-E942-4EAA-9327-FDD24F18CB05}"/>
  <bookViews>
    <workbookView xWindow="7155" yWindow="2775" windowWidth="28800" windowHeight="11295" tabRatio="903" activeTab="1" xr2:uid="{00000000-000D-0000-FFFF-FFFF00000000}"/>
  </bookViews>
  <sheets>
    <sheet name="Artigos" sheetId="9" r:id="rId1"/>
    <sheet name="Base" sheetId="1" r:id="rId2"/>
    <sheet name="Arquiteturas Base" sheetId="2" r:id="rId3"/>
    <sheet name="Detectores Específicos" sheetId="10" r:id="rId4"/>
    <sheet name="Geradores" sheetId="5" r:id="rId5"/>
    <sheet name="Datasets" sheetId="6" r:id="rId6"/>
    <sheet name="Métricas" sheetId="7" r:id="rId7"/>
  </sheet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0" l="1"/>
  <c r="C2" i="10"/>
  <c r="C3" i="10"/>
  <c r="C6" i="10"/>
  <c r="C4" i="10"/>
  <c r="C5" i="10"/>
  <c r="C8" i="10"/>
  <c r="C7" i="10"/>
  <c r="C9" i="10"/>
  <c r="C11" i="10"/>
  <c r="C12" i="10"/>
  <c r="C13" i="10"/>
  <c r="C14" i="10"/>
  <c r="C16" i="10"/>
  <c r="C15" i="10"/>
  <c r="C17" i="10"/>
  <c r="C20" i="10"/>
  <c r="C19" i="10"/>
  <c r="C18" i="10"/>
  <c r="C26" i="10"/>
  <c r="C25" i="10"/>
  <c r="C24" i="10"/>
  <c r="C23" i="10"/>
  <c r="C22" i="10"/>
  <c r="C21" i="10"/>
  <c r="C30" i="10"/>
  <c r="C28" i="10"/>
  <c r="C27" i="10"/>
  <c r="C32" i="10"/>
  <c r="C31" i="10"/>
  <c r="C37" i="10"/>
  <c r="C36" i="10"/>
  <c r="C35" i="10"/>
  <c r="C34" i="10"/>
  <c r="C29" i="10"/>
  <c r="C33" i="10"/>
  <c r="Q3" i="1"/>
  <c r="Q4" i="1"/>
  <c r="Q5" i="1"/>
  <c r="Q6" i="1"/>
  <c r="D19" i="5"/>
  <c r="B2" i="2"/>
  <c r="B3" i="2"/>
  <c r="B4" i="2"/>
  <c r="B5" i="2"/>
  <c r="B6" i="2"/>
  <c r="B7" i="2"/>
  <c r="B9" i="2"/>
  <c r="B10" i="2"/>
  <c r="B12" i="2"/>
  <c r="B11" i="2"/>
  <c r="B8" i="2"/>
  <c r="B13" i="2"/>
  <c r="B14" i="2"/>
  <c r="D4" i="5"/>
  <c r="D12" i="5"/>
  <c r="D5" i="5"/>
  <c r="D11" i="5"/>
  <c r="D6" i="5"/>
  <c r="D8" i="5"/>
  <c r="D20" i="5"/>
  <c r="D42" i="5"/>
  <c r="D41" i="5"/>
  <c r="D15" i="5"/>
  <c r="D40" i="5"/>
  <c r="D39" i="5"/>
  <c r="D37" i="5"/>
  <c r="D36" i="5"/>
  <c r="D35" i="5"/>
  <c r="D34" i="5"/>
  <c r="D33" i="5"/>
  <c r="D14" i="5"/>
  <c r="D21" i="5"/>
  <c r="D32" i="5"/>
  <c r="D31" i="5"/>
  <c r="D30" i="5"/>
  <c r="D13" i="5"/>
  <c r="D29" i="5"/>
  <c r="D28" i="5"/>
  <c r="D18" i="5"/>
  <c r="D27" i="5"/>
  <c r="D26" i="5"/>
  <c r="D25" i="5"/>
  <c r="D17" i="5"/>
  <c r="D24" i="5"/>
  <c r="D23" i="5"/>
  <c r="D22" i="5"/>
  <c r="D38" i="5"/>
  <c r="D2" i="5"/>
  <c r="D9" i="5"/>
  <c r="D10" i="5"/>
  <c r="D16" i="5"/>
  <c r="D7" i="5"/>
  <c r="D3" i="5"/>
  <c r="C14" i="7"/>
  <c r="C3" i="7"/>
  <c r="C4" i="7"/>
  <c r="C5" i="7"/>
  <c r="C6" i="7"/>
  <c r="C8" i="7"/>
  <c r="C9" i="7"/>
  <c r="C7" i="7"/>
  <c r="C10" i="7"/>
  <c r="C16" i="7"/>
  <c r="C17" i="7"/>
  <c r="C11" i="7"/>
  <c r="C12" i="7"/>
  <c r="C18" i="7"/>
  <c r="C19" i="7"/>
  <c r="C20" i="7"/>
  <c r="C21" i="7"/>
  <c r="C22" i="7"/>
  <c r="C15" i="7"/>
  <c r="C23" i="7"/>
  <c r="C24" i="7"/>
  <c r="C13" i="7"/>
  <c r="C25" i="7"/>
  <c r="C26" i="7"/>
  <c r="C27" i="7"/>
  <c r="C28" i="7"/>
  <c r="C29" i="7"/>
  <c r="C2" i="7"/>
  <c r="B2" i="6"/>
  <c r="B3" i="6"/>
  <c r="B5" i="6"/>
  <c r="B4" i="6"/>
  <c r="B7" i="6"/>
  <c r="B6" i="6"/>
  <c r="B8" i="6"/>
  <c r="B9" i="6"/>
  <c r="B11" i="6"/>
  <c r="B12" i="6"/>
  <c r="B10" i="6"/>
  <c r="B15" i="6"/>
  <c r="B13" i="6"/>
  <c r="B14" i="6"/>
  <c r="B16" i="6"/>
  <c r="B18" i="6"/>
  <c r="B19" i="6"/>
  <c r="B20" i="6"/>
  <c r="B21" i="6"/>
  <c r="B22" i="6"/>
  <c r="B23" i="6"/>
  <c r="B24" i="6"/>
  <c r="B25" i="6"/>
  <c r="B17" i="6"/>
  <c r="B26" i="6"/>
  <c r="B27" i="6"/>
  <c r="B28" i="6"/>
  <c r="B29" i="6"/>
  <c r="B30" i="6"/>
  <c r="B31" i="6"/>
  <c r="B32" i="6"/>
  <c r="B33" i="6"/>
  <c r="B34" i="6"/>
  <c r="B35" i="6"/>
  <c r="C38" i="10" l="1"/>
</calcChain>
</file>

<file path=xl/sharedStrings.xml><?xml version="1.0" encoding="utf-8"?>
<sst xmlns="http://schemas.openxmlformats.org/spreadsheetml/2006/main" count="1371" uniqueCount="780">
  <si>
    <t>Foco Principal do Estudo</t>
  </si>
  <si>
    <t>Algoritmos/Técnicas Utilizadas</t>
  </si>
  <si>
    <t>Datasets Utilizados</t>
  </si>
  <si>
    <t>Vulnerabilidade dos artefatos DCT ao redimensionamento de imagens, o que causa uma queda drástica no desempenho. A dependência do método proposto na presença de artefatos DCT em imagens reconstruídas por DM pode ser afetada se DMs futuros forem capazes de reconstruir imagens reais sem produzir esses artefatos.</t>
  </si>
  <si>
    <t>Melhorar a detecção de imagens sintéticas fora da distribuição (OoD) e a robustez a técnicas comuns de pré-processamento de imagem. Explorar a natureza de ataques contra-forenses intrincados (reconstrução de imagens reais com autoencoders de modelos de difusão). Classificar imagens manipuladas como uma classe separada para fornecer informações forenses críticas.</t>
  </si>
  <si>
    <t>Técnicas de pré-processamento apropriadas para detecção de imagens sintéticas, detecção de ataques contra-forenses, e experimentos usando técnicas de classificação modernas com a ajuda de Vision Language Models (VLMs) como Vision Image Transformers.</t>
  </si>
  <si>
    <t>Desinformação e ataques contra-forenses maliciosos, onde a manipulação intencional de imagens reais pode enganar algoritmos de detecção e minar a confiança nos modelos existentes.</t>
  </si>
  <si>
    <t>O pipeline SAFE alcança um novo estado da arte, com melhorias de 4.5% na acurácia e 2.9% na precisão média em comparação com métodos existentes. ACCM de 96.7% e APM de 99.3% em 26 modelos generativos. Supera baselines em cenários intra-arquitetura (GANs) e inter-arquitetura (DMs).</t>
  </si>
  <si>
    <t>A robustez inferior contra perturbações desconhecidas (ex: compressão JPEG) devido à adoção de artefatos de baixo nível (características DWT) que podem ser enfraquecidos por essas perturbações. A necessidade de explorar artefatos mais robustos em trabalhos futuros.</t>
  </si>
  <si>
    <t>Proliferação de imagens sintéticas e seus impactos negativos (desinformação, deepfakes, preocupações com privacidade). A necessidade de detectores eficazes e generalizáveis para novos geradores. Vieses em paradigmas de treinamento SID (características de artefato enfraquecidas e superajustadas). Aumentar a consciência local para explorar correlações entre pixels.</t>
  </si>
  <si>
    <t>O pipeline SAFE (Simple Preserved and Augmented FEatures) com suas três transformações de imagem (substituição de down-sampling por crop, ColorJitter, RandomRotation, RandomMask) e uso de DWT para extrair características de alta frequência. Explorar artefatos mais robustos e mitigar vieses em paradigmas de treinamento SID.</t>
  </si>
  <si>
    <t>Desinformação, deepfakes e preocupações com privacidade devido à proliferação de imagens sintéticas fotorrealistas.</t>
  </si>
  <si>
    <t>Improving Synthetically Generated Image Detection in Cross-Concept Settings</t>
  </si>
  <si>
    <t>Melhoria no desempenho de detecção (AUC) em cenários de conceito cruzado, com ganhos de até 8.5% (StyleGAN2) e quase 10% (Latent Diffusion) em comparação com amostragem aleatória. A amostragem baseada em qualidade leva a modelos mais consistentes e confiáveis (menor desvio padrão).</t>
  </si>
  <si>
    <t>Embora os resultados sejam promissores, ainda há espaço para melhorias no desenvolvimento de detectores que generalizem melhor entre diferentes classes de conceitos e modelos generativos.</t>
  </si>
  <si>
    <t>A ineficácia das abordagens existentes que amostram aleatoriamente imagens geradas para treinar seus modelos em cenários de conceito cruzado. A necessidade de generalização para novas classes de conceitos, não apenas para novas arquiteturas generativas. A evolução contínua dos modelos de IA generativa e a proliferação de imagens sintéticas hiper-realistas.</t>
  </si>
  <si>
    <t>A estratégia de amostragem baseada na qualidade da imagem (QC score) para selecionar dados de treinamento. Investigar o potencial de métodos baseados em frequência e ensembles de modelos para aumentar ainda mais a robustez e precisão dos detectores. Mais experimentos com mais conceitos e modelos generativos.</t>
  </si>
  <si>
    <t>Combate à desinformação, pois as capacidades dos modelos de IA generativa podem levar a imagens sintéticas hiper-realistas em escala e velocidade sem precedentes, tornando cada vez mais difícil distinguir entre imagens reais e falsas.</t>
  </si>
  <si>
    <t>SemGIR alcança uma acurácia média de detecção de 98.2% em seis modelos generativos, superando o melhor baseline em 15.76% em cenários de poucas amostras. Na atribuição, SemGIR-A atinge 98.01% de acurácia para o modelo SDv2.1.</t>
  </si>
  <si>
    <t>N/A (o artigo não discute limitações específicas do SemGIR, mas sim desafios gerais do campo e aprimoramentos propostos).</t>
  </si>
  <si>
    <t>Propagação de informações falsas e preocupações de segurança devido ao rápido desenvolvimento de modelos generativos. Dificuldade de detecção em cenários com amostras limitadas e com modelos comerciais de código fechado. Interferência de prompts de texto na generalização dos detectores. Necessidade de atribuição (determinar qual modelo gerou a imagem).</t>
  </si>
  <si>
    <t>Regeneração de imagem guiada semanticamente (SemGIR) para desacoplar características semânticas das características inerentes do modelo. Uso de modelos de visão-linguagem pré-treinados para extração de características. Métodos de classificação condicional semântica para atribuição. Explorar métodos mais eficientes para lidar com a influência de prompts de texto.</t>
  </si>
  <si>
    <t>Preocupações de segurança relacionadas à propagação de informações falsas, manipulação da opinião pública e desinformação (ex: 'explosão no Pentágono').</t>
  </si>
  <si>
    <t>Propor e apresentar o SIDBench, um framework Python para avaliar de forma confiável métodos de detecção de imagens sintéticas (SID), abordando a lacuna entre os resultados experimentais em datasets de benchmark e o desempenho real dos métodos.</t>
  </si>
  <si>
    <t>VAEs, GANs (ProGAN, StyleGAN, BigGAN, CycleGAN, StarGAN, GauGAN, CRN, IMLE, SAN), Diffusion Models (DMs) (Denoising Diffusion Probabilistic Models (DDPMs), Latent Diffusion Models (LDMs), Ablated Diffusion Model (ADM), Guided Diffusion, Glide, Stable Diffusion, Dall·E, Midjourney, Adobe Firefly), CNNs (ResNet50, ResNet18), Vision Transformer (ViT L/14), CLIP, CNNDetect, LGrad, DIMD, FreqDetect, Fusing, GramNet, NPR, UnivFD, RINE, PatchCraft, DeFake.</t>
  </si>
  <si>
    <t>SIDBench permite a comparação de desempenho entre vários modelos de ponta. Modelos baseados em impressões digitais (e.g., LGrad, FreqDetect, Fusing, GramNet, PatchCraft) generalizam bem em GANs. O desempenho em DMs diminui para a maioria dos modelos, com exceções como GramNet, RINE e PatchCraft. RINE é o modelo com melhor desempenho geral. O desempenho cai significativamente para todos os modelos no dataset Synthbuster (ACC em torno de 50%), indicando um desafio com imagens de alta resolução e qualidade. DeFake se destaca no DALL·E3 com 78.5% de acurácia e 92.4% de AP. DIMD treinado em Latent Diffusion atinge quase 98.45% de acurácia em Midjourney v5.</t>
  </si>
  <si>
    <t>Grande lacuna entre os resultados experimentais em datasets de benchmark e o desempenho dos métodos no mundo real. Generalização para modelos generativos não vistos permanece um desafio. Sensibilidade dos modelos a transformações de imagem (compressão JPEG, desfoque Gaussiano, redimensionamento, corte). A maioria dos modelos SID foi treinada em imagens de baixa resolução, o que afeta o desempenho em imagens de alta resolução.</t>
  </si>
  <si>
    <t>A crescente dificuldade em distinguir imagens sintéticas de reais. A necessidade de uma avaliação sistemática e confiável dos métodos SID. A variação no desempenho dos modelos sob diferentes condições e transformações de imagem. A falta de um modelo</t>
  </si>
  <si>
    <t>Detecção de imagens geradas por IA, explorando as capacidades de modelos CNN e Vision Transformer, e utilizando Explainable AI (Grad-CAM) para interpretar as decisões do modelo.</t>
  </si>
  <si>
    <t>Convolutional Neural Networks (CNNs), Vision Transformer (ViT-S16), Generative Adversarial Networks (GANs), Latent Diffusion Models (LDMs), Grad-CAM (Gradient-weighted Class Activation Mapping), Adam optimizer, ReLU activation function.</t>
  </si>
  <si>
    <t>O modelo CNN selecionado alcançou uma acurácia de 96.31%, 96.13% de precisão e 96.50% de recall. O ViT-S16 pré-treinado teve a menor acurácia (87.09%), precisão (85.98%) e recall (88.63%).</t>
  </si>
  <si>
    <t>O desempenho do modelo Vision Transformer foi subótimo, possivelmente devido à resolução limitada das imagens (32x32 pixels). A generalização para novos datasets e imagens de alta resolução é uma limitação.</t>
  </si>
  <si>
    <t>A crescente dificuldade em distinguir imagens geradas por IA de imagens reais devido ao realismo. A manipulação e disseminação de desinformação através de imagens geradas por IA. A necessidade de técnicas auxiliadas por computador para identificar essas imagens.</t>
  </si>
  <si>
    <t>Extender o teste dos modelos para diversos datasets, especialmente aqueles com imagens de alta resolução. Explorar imagens geradas por diferentes GANs para entender a robustez dos modelos em várias estruturas generativas.</t>
  </si>
  <si>
    <t>Preocupações sociais crescentes relacionadas à disseminação de imagens sintéticas para fins enganosos e propagandísticos. A importância de combater notícias falsas e garantir a segurança cibernética.</t>
  </si>
  <si>
    <t>Detecção de imagens geradas por IA (AIGC), especificamente imagens de texto para imagem (T2I), utilizando uma rede de fluxo duplo aprimorada por atenção cruzada para capturar anomalias inerentes e distinguir T2I de fotografias (PG).</t>
  </si>
  <si>
    <t>Dual-stream network (residual stream e content stream), Cross Multi-Head Attention Mechanism, Spatial Rich Model (SRM), CNN modules, Fully Connected Layer, Adam optimizer, ReLU activation function, Cross Entropy Loss, ResNet18, VAE, GAN, Diffusion Models (Stable Diffusion, Disco Diffusion, MidJourney, DALL·E2).</t>
  </si>
  <si>
    <t>O método proposto supera consistentemente as técnicas tradicionais de detecção de CG e outros métodos comparáveis, especialmente em resoluções de imagem mais altas (ex: &gt;98.5% de acurácia em 256x256). Mantém um desempenho impressionante mesmo em resoluções mais baixas (ex: 93.1% e 97.8% de acurácia para DALL·E2 e DreamStudio em 64x64). Demonstra robustez contra várias operações de pós-processamento, como cromaticidade, brilho, contraste, nitidez, rotação e desfoque.</t>
  </si>
  <si>
    <t>N/A (o artigo foca nos avanços e eficácia do método proposto, não explicitando limitações).</t>
  </si>
  <si>
    <t>A crescente sofisticação das imagens geradas por IA, tornando-as indistinguíveis de imagens reais. A inadequação dos métodos convencionais de detecção de CG para identificar imagens geradas por AIGC devido às disparidades entre CG e AIGC. A necessidade de uma análise abrangente das anomalias inerentes produzidas por AIGC.</t>
  </si>
  <si>
    <t>A rede de fluxo duplo aprimorada por atenção cruzada para detecção de T2I. A exploração de outros tipos de falsificações geradas por IA. Aprimoramento contínuo da abordagem de rede de fluxo duplo.</t>
  </si>
  <si>
    <t>A natureza enganosa das imagens forjadas produzidas por AIGC e a necessidade de menos intervenção humana, o que as torna mais perigosas. A importância de distinguir T2I de fotografias para combater a desinformação.</t>
  </si>
  <si>
    <t>Apresentar o ArtiFact, um dataset em larga escala com imagens artificiais e factuais para detecção generalizável e robusta de imagens sintéticas, e propor um esquema de classificação multi-classe combinado com uma estratégia de redução de stride de filtro para detectar imagens sintéticas de geradores vistos e não vistos.</t>
  </si>
  <si>
    <t>Deep CNN models, ConvNeXt-Large (backbone), Adam optimizer, Exponentially Decay scheduler, Categorical Cross Entropy loss with label smoothing, KFold, GroupKFold, GANs, Diffusion Models.</t>
  </si>
  <si>
    <t>O método proposto supera consistentemente outras equipes de ponta no desafio IEEE VIP Cup 2022, com melhorias de 8.34% no Teste 1, 1.26% no Teste 2 e 15.08% no Teste 3. A abordagem multi-classe com FSR e classe UF alcançou a maior acurácia de 87.62%, superando o método binário tradicional em 9.41%.</t>
  </si>
  <si>
    <t>O problema fundamental da generalização persiste, pois mesmo os detectores de ponta encontram dificuldade ao enfrentar geradores nunca vistos durante o treinamento. A prevalência de deterioração de imagem em imagens de mídia social compactadas e redimensionadas, que são particularmente vulneráveis a atividades fraudulentas relacionadas a imagens sintéticas. A falta de um dataset de benchmark adequado, pois os datasets existentes são limitados pela falta de diversidade entre as fontes do gerador e as categorias de objetos.</t>
  </si>
  <si>
    <t>Prevenir atividades ilegais e prejudiciais relacionadas à geração de imagens falsas. A necessidade de um detector robusto e generalizável que seja capaz de generalizar para geradores vistos e não vistos, com ou sem deterioração, e que não perca informações críticas preservando traços do gerador na presença de deterioração. A perda de informações críticas causada por deteriorações de plataformas sociais.</t>
  </si>
  <si>
    <t>O dataset ArtiFact para avaliação de detectores de imagens sintéticas. O esquema de classificação multi-classe com uma classe dedicada para geradores não vistos. A redução de stride de filtro no bloco stem do backbone ConvNeXt para combater a perda de informações críticas.</t>
  </si>
  <si>
    <t>Ameaças à privacidade, autenticidade e segurança devido à geração de imagens sintéticas. A importância de detectar imagens falsas para prevenir atividades ilegais.</t>
  </si>
  <si>
    <t>DIF alcança alta acurácia de detecção com um número mínimo de amostras de treinamento (menos de 512 imagens), superando outros métodos treinados sob as mesmas condições e comparável a métodos SOTA pré-treinados em Stable Diffusion e MidJourney. Por exemplo, em SD 1.4, MJ e DALL·E-Mini, DIF alcança acurácias de 97.7% a 99.3% com 128 a 1024 amostras de treinamento. Em GANs, DIF alcança acurácias de 91.5% a 99.9% em diversos datasets.</t>
  </si>
  <si>
    <t>Alguns geradores de imagem produzem "impressões digitais" fracas, o que dificulta a detecção pelo DIF. O método tem desempenho insatisfatório em certos métodos de compressão e imagens borradas. O efeito da compressão na extração e detecção de "impressões digitais" requer investigação adicional.</t>
  </si>
  <si>
    <t>A necessidade de uma ferramenta automatizada para detectar imagens geradas por IA, dada a dificuldade de distinguir entre imagens reais e falsas. A proliferação de modelos de texto-para-imagem (LTIMs) e a necessidade de métodos de detecção que funcionem com poucos dados de treinamento. A detecção de imagens geradas por modelos "personalizados" (fine-tuned). A robustez dos métodos de detecção contra compressão de imagem.</t>
  </si>
  <si>
    <t>O uso de "impressões digitais" de CNNs para detecção de imagens geradas e análise de linhagem de modelos. A aplicação de cross-detection para rastrear modelos generativos fine-tuned.</t>
  </si>
  <si>
    <t>O uso malicioso de imagens geradas por IA com intenções enganosas, destacando a necessidade de ferramentas de detecção robustas para combater a desinformação.</t>
  </si>
  <si>
    <t>Construir um detector para distinguir imagens reais de imagens geradas por modelos de difusão, propondo uma nova representação de imagem chamada DIffusion Reconstruction Error (DIRE) e estabelecendo um benchmark abrangente para avaliação.</t>
  </si>
  <si>
    <t>DIRE alcança uma média de 99.9% de ACC e 100% de AP na detecção de imagens geradas por vários modelos de difusão, superando significativamente os detectores existentes. Demonstra forte generalização para modelos de difusão não vistos e robustez a perturbações como desfoque gaussiano e compressão JPEG, mantendo desempenho perfeito.</t>
  </si>
  <si>
    <t>N/A (o artigo foca na eficácia e generalização do método proposto, não explicitando limitações).</t>
  </si>
  <si>
    <t>A necessidade urgente de um detector de imagens geradas por difusão devido ao potencial abuso para fins maliciosos. A dificuldade dos detectores existentes em generalizar para imagens geradas por modelos de difusão não vistos. A robustez dos detectores a várias perturbações (desfoque, compressão).</t>
  </si>
  <si>
    <t>A representação DIRE como uma forma eficaz e generalizável de detectar imagens geradas por difusão. O dataset DiffusionForensics como um benchmark abrangente para avaliação de detectores de imagens geradas por difusão.</t>
  </si>
  <si>
    <t>Preocupações com potenciais problemas de privacidade (modelos de difusão podem memorizar imagens de treinamento) e o desenvolvimento de novas técnicas de deepfake baseadas em modelos de difusão, destacando a demanda urgente por detectores.</t>
  </si>
  <si>
    <t>Explorar avanços na detecção de imagens geradas por IA, propondo um novo modelo de detecção híbrido que combina CNNs e ViTs com uma camada adicional de mecanismo de atenção para melhorar a interação entre características locais e globais, visando aumentar a precisão da detecção.</t>
  </si>
  <si>
    <t>Convolutional Neural Networks (CNNs), Vision Transformers (ViTs), Modelos Híbridos (CNN/ViT), Mecanismo de Atenção, Generative Adversarial Networks (GANs), Diffusion Models, Multilayer Perceptron, KerasTuner, Grad-CAM (para interpretabilidade futura).</t>
  </si>
  <si>
    <t>O modelo híbrido CNN/ViT+Attention alcançou 99.77% de acurácia, 99.8% de precisão e 99.76% de recall em dados não vistos, superando o modelo CNN/ViT (99.67% de acurácia) e o detector CIFAKE CNN (92.98% de acurácia). O modelo CNN básico alcançou 94% de acurácia e 23% de perda, enquanto o ViT alcançou 93.3% de acurácia e 18% de perda.</t>
  </si>
  <si>
    <t>Modelos existentes enfrentam desafios de generalização e acurácia com tecnologias mais recentes como Diffusion Models. A diversidade de datasets, ataques adversariais e inconsistências em métodos de pré-processamento são problemas. O modelo proposto foi testado em um ambiente controlado (CIFAKE), o que pode limitar sua aplicabilidade a dados não controlados do mundo real. VGG16 e ResNet50 pré-treinados não se mostraram adequados para o dataset selecionado.</t>
  </si>
  <si>
    <t>A crescente dificuldade em detectar imagens sintéticas devido ao realismo aprimorado das imagens geradas por IA (incluindo deepfakes). A necessidade de métodos de detecção eficazes que superem as limitações de generalização e acurácia dos CNNs tradicionais. A evolução rápida dos modelos de geração de imagens (de CNNs para GANs e Diffusion Models) torna a detecção mais desafiadora.</t>
  </si>
  <si>
    <t>A combinação de CNNs e ViTs com mecanismos de atenção para melhorar a interação entre características locais e globais. A incorporação de dados do mundo real e cenários não controlados em trabalhos futuros. Maior ênfase na interpretabilidade do modelo (e.g., Grad-CAM) para entender as decisões do modelo.</t>
  </si>
  <si>
    <t>O uso indevido de imagens geradas por IA, que representa ameaças significativas à privacidade, democracia e segurança nacional (e.g., deepfakes). O aumento da fraude de imagens em publicações científicas.</t>
  </si>
  <si>
    <t>Estudar a robustez adversarial de detectores de imagens geradas por IA, com foco em métodos baseados em CLIP (Contrastive Language-Image Pretraining) que utilizam backbones de Vision Transformer (ViT), e comparar seu desempenho com métodos baseados em CNNs.</t>
  </si>
  <si>
    <t>Detectores baseados em CLIP são vulneráveis a ataques white-box, assim como os baseados em CNNs. No entanto, ataques não são facilmente transferíveis entre métodos baseados em CNN e CLIP. A SAR é sempre muito baixa quando a fonte e o alvo pertencem a famílias diferentes (CNN vs. CLIP). Detectores baseados em CLIP dependem principalmente de baixas frequências de imagem, enquanto os baseados em CNN dependem mais de frequências médias-altas. O detector baseado em CLIP alcança sua melhor performance em B=0.2 (largura de banda do filtro passa-baixa), enquanto o baseado em CNN atinge nível similar em B=0.3.</t>
  </si>
  <si>
    <t>N/A (o artigo foca na análise e descobertas, não explicitando limitações do próprio trabalho).</t>
  </si>
  <si>
    <t>A necessidade de investigar a robustez adversarial de detectores de imagens geradas por IA, especialmente com o surgimento de arquiteturas baseadas em Transformer. A dificuldade de transferibilidade de ataques entre diferentes arquiteturas de detectores. A compreensão das propriedades dos detectores forenses para desenvolver estratégias mais eficazes.</t>
  </si>
  <si>
    <t>A análise de padrões de ruído adversarial no domínio da frequência para obter insights sobre o funcionamento dos detectores. A exploração da complementaridade entre detectores baseados em CNN e CLIP para desenvolver detectores mais robustos.</t>
  </si>
  <si>
    <t>A importância de estabelecer a natureza de uma imagem (real ou sintética) em contextos como jornalismo, política e judiciário. A ameaça concreta de ataques adversariais a detectores de deepfake, que podem ser robustos à compressão ou redimensionamento.</t>
  </si>
  <si>
    <t>Desenvolver um método geral de detecção de imagens geradas por IA (FAMSeC) que seja eficaz com um número limitado de amostras de treinamento, abordando a necessidade de generalização em cenários de poucos dados.</t>
  </si>
  <si>
    <t>LoRA (Low-Rank Adaptation), CLIP:ViT (Contrastive Language-Image Pretraining com Vision Transformer), Forgery Awareness Module (FAM), Semantic feature-guided Contrastive learning (SeC), GANs (Generative Adversarial Networks), Diffusion Models, Adam optimizer, t-SNE (para visualização).</t>
  </si>
  <si>
    <t>FAMSeC alcançou uma acurácia média de 95.22% em três datasets cross-model (ForenSynths, UniversalFakeDetect, GenImage), superando o estado da arte (UniFD) em 14.55% de acurácia, utilizando apenas 0.56% das amostras de treinamento. No ForenSynths, alcançou 96.52%; no UniversalFakeDetect, 97.85%; e no GenImage, 90.90%.</t>
  </si>
  <si>
    <t>A maioria dos métodos atuais de detecção de imagens geradas por IA depende de grandes quantidades de dados de treinamento para generalização, o que é um desafio devido a modelos de código fechado e acesso restrito a amostras de treinamento. O aumento do rank do LoRA ou a aplicação do FAM a muitos blocos ViT pode levar a overfitting e diminuir a generalização.</t>
  </si>
  <si>
    <t>A necessidade de um detector geral de imagens geradas por IA que funcione com poucas amostras de treinamento. A diversidade de mecanismos de geração (GANs, modelos de difusão) que exige generalização. Como ajustar o modelo para reter características gerais e evitar overfitting com poucas amostras.</t>
  </si>
  <si>
    <t>A combinação de LoRA com CLIP:ViT para criar um módulo de consciência de falsificação (FAM) que se adapta a poucos dados. A estratégia de aprendizado contrastivo guiado por características semânticas (SeC) para focar nas diferenças entre imagens reais e falsas. A visualização do espaço de características (t-SNE) para verificar a separabilidade das classes.</t>
  </si>
  <si>
    <t>O crescimento explosivo da IA generativa levanta preocupações de segurança e privacidade na sociedade, aumentando a demanda por métodos de detecção confiáveis.</t>
  </si>
  <si>
    <t>Detecção generalizável de imagens sintéticas, com o objetivo de detectar imagens forjadas de diversos métodos generativos (GANs e modelos de difusão), superando as limitações do paradigma fixo de pré-treinamento.</t>
  </si>
  <si>
    <t>FatFormer (Forgery-aware Adaptive Transformer), CLIP-ViT (Contrastive Language-Image Pretraining com Vision Transformer), Forgery-aware Adapter (FAA) com extratores de imagem e frequência (convolução, DWT, atenção inter/intra-banda), Language-guided Alignment (LGA) com enhancer baseado em patch e interator guiado por texto, GANs (Generative Adversarial Networks), Diffusion Models, Adam optimizer, t-SNE (para visualização).</t>
  </si>
  <si>
    <t>FatFormer alcança uma média de 98% de acurácia para GANs não vistos e 95% de acurácia para modelos de difusão não vistos. Com supervisão de 4 classes, FatFormer supera UniFD em 9.3% ACC e 1.4% AP para GANs, e em 9.6% ACC e 4.2% AP para modelos de difusão. Demonstra robustez a perturbações de imagem (desfoque gaussiano, corte aleatório, compressão JPEG, ruído gaussiano), superando UniFD em mais de 12% de ACC em alguns casos.</t>
  </si>
  <si>
    <t>A necessidade de detectar imagens forjadas de diversos métodos generativos (GANs e modelos de difusão). A falta de adaptação à falsificação em soluções existentes. A vulnerabilidade de detectores a ataques adversariais. A necessidade de desenvolver detectores mais robustos e generalizáveis.</t>
  </si>
  <si>
    <t>A adaptação de modelos pré-treinados para aprender representações de falsificação. A integração de análise de domínio de imagem e frequência. O uso de objetivos contrastivos guiados por linguagem para supervisão. A aplicação de LoRA para adaptação eficiente de modelos. A exploração de diferentes arquiteturas e estratégias de pré-treinamento para aprimorar a detecção.</t>
  </si>
  <si>
    <t>O crescimento de modelos generativos levanta preocupações sobre abuso potencial e ameaças à privacidade. A necessidade de combater a desinformação. O risco de conteúdo legítimo ser erroneamente sinalizado em moderação de conteúdo.</t>
  </si>
  <si>
    <t>Melhorar a generalização de detectores de imagens geradas por GAN, realizando aumento de dados no domínio da impressão digital (fingerprint) para simular imagens geradas por diferentes GANs.</t>
  </si>
  <si>
    <t>Autoencoder (para extração de impressão digital), Gradient Reversal Layer (GRL), Perturbação de impressão digital (Scaling, Mixup), ResNet50, ResNet18, Xception (como detectores), Adam optimizer.</t>
  </si>
  <si>
    <t>O método proposto supera o estado da arte em mais de 4% em Acc e 1.9% em AP em avaliações cross-category. Em avaliações cross-GAN, supera o estado da arte em 2.1% em Acc. O método com Mixup alcança o maior nível de AP. Atinge boa generalização com poucas categorias de treinamento e melhora com mais categorias. O detector Xception alcança AP 3-4% maior que ResNet18 e ResNet50.</t>
  </si>
  <si>
    <t>A maioria dos trabalhos existentes sofre uma queda significativa de desempenho em imagens geradas por GANs não vistos. Métodos forenses recentes baseados em anomalias locais para detecção de falsificação de rosto não são tão aplicáveis à detecção de imagens geradas por GAN.</t>
  </si>
  <si>
    <t>A generalização para imagens geradas por GANs desconhecidos. O overfitting a impressões digitais específicas de GANs. A necessidade de enriquecer os tipos de falsificações vistos pelos detectores durante o treinamento.</t>
  </si>
  <si>
    <t>Aumento de dados no domínio da impressão digital. Extração de impressões digitais com autoencoders. Perturbação de impressões digitais para simular diferentes arquiteturas de GAN. Uso de discriminador de categoria para extrair impressões digitais independentes de conteúdo.</t>
  </si>
  <si>
    <t>A ameaça potencial do uso malicioso de imagens falsas fotorrealistas para indivíduos e sociedade.</t>
  </si>
  <si>
    <t>Propor um novo método (LaRE2) para detecção de imagens geradas por modelos de difusão, baseado no erro de reconstrução latente (LaRE) e um módulo de refinamento de características guiado por erro (EGRE), visando maior eficiência e generalização.</t>
  </si>
  <si>
    <t>Latent Reconstruction Error (LaRE), Error-Guided Feature REfinement module (EGRE), Denoising Diffusion Probabilistic Models (DDPM), Denoising Diffusion Implicit Models (DDIM), Stable Diffusion V1.5, CLIP (como backbone), ResNet50, t-SNE (para visualização).</t>
  </si>
  <si>
    <t>LaRE2 supera o melhor método SoTA em até 11.9% de ACC e 12.1% de AP no benchmark GenImage. LaRE é 8 vezes mais rápido na extração de características do que métodos existentes (e.g., DIRE). O modelo demonstra maior robustez e generalização em comparação com DIRE, especialmente em geradores baseados em difusão. O ESR (refinamento espacial) traz um ganho de 8.6%/5.3% ACC/AP, e o ECR (refinamento de canal) 5.7%/2.4% ACC/AP.</t>
  </si>
  <si>
    <t>Métodos existentes (DIRE, SeDID) são ineficientes devido a processos de amostragem multi-passos. A acumulação de perdas em amostragem multi-passos introduz incerteza nas características extraídas. A confiabilidade do processo de inversão não é consistentemente mantida. O artigo não explicita limitações do próprio método proposto, mas sugere que a descrição precisa de imagens para aprimorar o desempenho é um trabalho futuro.</t>
  </si>
  <si>
    <t>A dificuldade crescente em diferenciar imagens reais de imagens geradas por modelos de difusão. A necessidade urgente de desenvolver técnicas para detectar imagens geradas por esses modelos devido a preocupações com privacidade e segurança. A baixa eficiência dos métodos de detecção existentes.</t>
  </si>
  <si>
    <t>O uso do erro de reconstrução no espaço latente para detecção de imagens geradas por difusão. O refinamento de características guiado por erro para aumentar a discriminabilidade. A exploração de prompts específicos de classe para extração de LaRE. A análise da relação entre o erro de reconstrução e a frequência de informações locais da imagem.</t>
  </si>
  <si>
    <t>O potencial de disseminação de conteúdo tóxico e desinformação através de imagens geradas por IA, representando uma ameaça à sociedade.</t>
  </si>
  <si>
    <t>Detecção de imagens geradas por modelos de difusão, com foco em padrões de ruído anômalos para melhorar a generalização.</t>
  </si>
  <si>
    <t>Noise-Aware Self-Attention (NASA), NASA-Swin (baseado em Swin Transformer), Cross-Modality Fusion Embedding (CMFE), Channel Mask Strategy (CMS), Denoising Diffusion Probabilistic Models (DDPMs), Denoising Diffusion Implicit Models (DDIMs), ResNet, Xception, EfficientNet, Grad-CAM, t-SNE.</t>
  </si>
  <si>
    <t>NASA-Swin atinge resultados de última geração na detecção de imagens geradas por modelos de difusão não vistos, superando o Swin-B em 21.4% de Avg-Acc. Supera DIRE e LaRE2 (89.2% vs 79.9%/81.7% Avg-Acc). Mostra melhorias significativas em imagens geradas por BigGAN (de 68.8%/68.7% para 93.0%). O ruído residual supera o RGB em Avg-Acc (81.2% vs 67.8%). A combinação de modalidades (CMFE) melhora o Avg-Acc para 81.6%. A inclusão do NASA aumenta o Avg-Acc de 82.7% para 89.2%. A incorporação da distância relativa no NASA melhora o Avg-Acc de 83.2% para 89.2%.</t>
  </si>
  <si>
    <t>Métodos tradicionais de detecção de falsificações são ineficazes para modelos de difusão. Classificadores binários simples são ineficazes para imagens geradas por modelos de difusão não vistos. Métodos anteriores (DIRE, SeDID) são ineficientes devido a processos de amostragem multi-passos.</t>
  </si>
  <si>
    <t>Generalização para modelos de difusão não vistos durante o treinamento. Ineficácia de métodos tradicionais de detecção de falsificações para modelos de difusão. A necessidade de desenvolver novos detectores de falsificações para imagens geradas por modelos de difusão.</t>
  </si>
  <si>
    <t>Utilização de padrões de ruído anômalos. Módulo de autoatenção sensível ao ruído (NASA). Arquitetura NASA-Swin. Estratégia de fusão de modalidades (CMFE) e máscara de canal (CMS).</t>
  </si>
  <si>
    <t>Preocupações com segurança da informação devido ao rápido desenvolvimento de tecnologias de geração de imagens. O potencial de exploração maliciosa para disseminação de notícias falsas, desenvolvimento de novas técnicas de deepfake para difamar celebridades e falsificação de evidências.</t>
  </si>
  <si>
    <t>Comparar e visualizar métodos de detecção de imagens geradas por IA, classificando-os por características de imagem utilizadas e avaliando seu desempenho de generalização em diferentes tipos de modelos generativos (GAN, difusão, transformer).</t>
  </si>
  <si>
    <t>CNNDetection (ResNet50), no-down method (ResNet50 modificado), Patch Selection Module (PSM), Vision Transformer (ViT, ViT-B/16, ViT-L/14), Deep Image Fingerprint (DIF), Universal Fake Image Detector (UFD, CLIP:ViT-L/14), Grad-CAM, t-SNE.</t>
  </si>
  <si>
    <t>Métodos baseados em artefatos (no-down) performam bem em GANs e imagens reais (94.54% Acc total para GANs). Métodos baseados em encoder de imagem (UFD) performam bem em difusão e transformer (86.66% Acc para difusão, 80.86% Acc para transformer/Midjourney). UFD mostra boa generalização para GANs não vistos (CycleGAN, GauGAN). O no-down method é o mais robusto à compressão JPEG e desfoque Gaussiano. ViT tem o menor desempenho em GANs. DIF tem desempenho fraco em imagens reais e transformer/Midjourney. A acurácia de detecção diminui com a compressão JPEG e desfoque Gaussiano, mas alguns métodos (no-down, CNNDetection) mostram robustez.</t>
  </si>
  <si>
    <t>Dificuldade em distinguir imagens geradas por IA de imagens reais devido à crescente autenticidade. Falta de pesquisa sobre os métodos mais eficazes e modelos de detecção de características. Dificuldade em determinar o método ideal para discernir imagens geradas por diferentes tipos de modelos generativos. Modelos de detecção treinados em LDM-geradas têm desempenho reduzido em modelos Stable Diffusion fine-tuned. Métodos baseados em artefatos têm limitações na detecção de imagens de novos modelos generativos. UFD tem desempenho inferior em imagens reais comparado a métodos de artefato.</t>
  </si>
  <si>
    <t>A necessidade de tecnologia para distinguir entre imagens reais e geradas por IA devido a preocupações éticas e danos potenciais. A robustez dos métodos de detecção contra manipulações como compressão JPEG e desfoque Gaussiano. A generalização para modelos generativos não vistos.</t>
  </si>
  <si>
    <t>Combinação de vantagens de métodos baseados em artefatos e em encoder de imagem para criar modelos de ensemble. Uso de compressão JPEG e desfoque Gaussiano como aumento de dados durante o treinamento para melhorar a robustez. Coleta de imagens de modelos de última geração (Stable Diffusion XL, DALL·E 3) para futuras avaliações. Uso da técnica de visualização LIME para análise mais precisa das áreas de foco.</t>
  </si>
  <si>
    <t>Preocupações sociais e problemas relacionados à geração de imagens por IA, como a questão da autoria e direitos autorais (ex: pintura premiada gerada por Midjourney) e o potencial de causar problemas significativos na vida real (ex: foto falsa de explosão perto do Pentágono causando queda no mercado de ações).</t>
  </si>
  <si>
    <t>Explorar o potencial de modelos de visão-linguagem pré-treinados (VLMs), especificamente CLIP, para detecção universal de imagens geradas por IA, focando na generalização para dados fora de distribuição (OOD) e robustez a dados comprometidos/alterados.</t>
  </si>
  <si>
    <t>Supera o estado da arte em generalização para dados OOD (+6% AUC) e robustez a dados comprometidos (+13%). Acurácia de 85-90% em AUC para dados não processados e 75-90% para dados pós-processados com apenas 10k imagens de referência. A fusão com detectores tradicionais (Corvi et al.) melhora o desempenho em +3.6% AUC e +7.4% Acc.</t>
  </si>
  <si>
    <t>N/A (o artigo foca em superar limitações de métodos anteriores e não menciona limitações do próprio método de forma explícita, mas sim áreas para trabalho futuro).</t>
  </si>
  <si>
    <t>Generalização para novos e não vistos métodos generativos (OOD), robustez a transformações como compressão e redimensionamento, combate à desinformação e notícias falsas geradas por IA.</t>
  </si>
  <si>
    <t>Desenvolvimento de métodos few-shot baseados em CLIP que se adaptam ao detector em tempo real. Estudo da interpretabilidade para entender quais características forenses o detector explora.</t>
  </si>
  <si>
    <t>Aumento da capacidade de desinformação e notícias falsas devido à facilidade de geração de imagens sintéticas de alta qualidade, impacto na autenticidade de mídias e na confiança pública em análises forenses.</t>
  </si>
  <si>
    <t>Propor um novo método (SFLD) para detecção de imagens geradas por IA que integra informações semânticas de alto nível e texturais de baixo nível, utilizando PatchShuffle para melhorar a robustez e generalização. Além disso, introduzir uma nova metodologia de benchmark, TwinSynths, para avaliação de detectores.</t>
  </si>
  <si>
    <t>PatchShuffle, CLIP (ViT-L/14), Fully Connected Layer, DDIM inversion, DCGAN, CNNSpot, FreDect, GramNet, Fusing, LNP, LGrad, UnivFD, NPR, GradCAM, UMAP.</t>
  </si>
  <si>
    <t>SFLD atinge 98.43 AP médio, superando o UnivFD em até 2.14 AP. Melhoria de +9.6% na acurácia para DeepFake e +6.5% para ADM. Demonstra robustez contra desfoque Gaussiano e compressão JPEG.</t>
  </si>
  <si>
    <t>Métodos existentes são enviesados para conteúdo não visto ou vulneráveis a degradações de imagem (ex: compressão JPEG). Benchmarks atuais têm baixa qualidade de imagem, preservação de conteúdo insuficiente e diversidade de classes limitada.</t>
  </si>
  <si>
    <t>A necessidade de um detector generalizado capaz de distinguir entre imagens reais e falsas, independentemente da estrutura do modelo generativo. Superar o viés de conteúdo em detectores existentes. Robustez contra degradações de imagem como compressão e desfoque.</t>
  </si>
  <si>
    <t>Integração de informações semânticas e texturais. Uso de PatchShuffle para perturbar a estrutura global da imagem e preservar características locais. Criação de benchmarks com pares de imagens reais e sintéticas visualmente quase idênticas (TwinSynths).</t>
  </si>
  <si>
    <t>A crescente preocupação social com o uso indevido de tecnologias de geração de imagens por IA para notícias falsas, difamação e outras formas de engano digital. A necessidade de ferramentas para identificar conteúdo gerado por IA para uso seguro e ético.</t>
  </si>
  <si>
    <t>Desenvolver um sistema capaz de distinguir imagens autênticas de imagens geradas por IA, com foco na robustez a adulterações e generalização para novos modelos generativos (GANs e modelos de difusão).</t>
  </si>
  <si>
    <t>Queda de cerca de 10% na acurácia para os melhores métodos ao lidar com modelos generativos desconhecidos. Acurácia acima de 70% para apenas quatro equipes no cenário mais simples. Forte correlação entre o desempenho em conjuntos de teste com modelos conhecidos e desconhecidos. A fusão de informações de baixo nível (domínio da frequência) e alto nível (domínio espacial) é promissora.</t>
  </si>
  <si>
    <t>Resultados de detectores em condições ideais (dados de treinamento e teste do mesmo modelo) são excessivamente otimistas e não se aplicam ao mundo real. Dificuldade de generalização para novos modelos generativos e robustez a adulterações (compressão, redimensionamento) são desafios cruciais. A necessidade de definir o limiar correto para a decisão final em cenários de geradores não vistos.</t>
  </si>
  <si>
    <t>A evolução contínua das tecnologias de geração de IA exige detectores que generalizem para novas arquiteturas. A necessidade de robustez a adulterações de imagem (compressão, redimensionamento) que ocorrem em ambientes reais (ex: redes sociais). A detecção de imagens parcialmente manipuladas. A atribuição do modelo gerador.</t>
  </si>
  <si>
    <t>Redes muito profundas pré-treinadas em grandes datasets. Aumento da diversidade durante o treinamento (mais geradores, mais aumento de dados). Uso de múltiplas entradas (RGB, HSV, YCbCr, domínio da frequência). Mecanismos de atenção e ensemble de modelos. Métodos que podem ser usados em cenários de poucos exemplos (few-shot). Métodos explicáveis (XAI) para destacar artefatos forenses.</t>
  </si>
  <si>
    <t>Minar a confiabilidade do conteúdo de mídia e fomentar a disseminação de desinformação na Internet. Preocupação com a geração de imagens extremamente realistas por meio de software de edição e modelos de difusão. A necessidade de ferramentas robustas e automáticas para detecção de imagens sintéticas para combater a desinformação.</t>
  </si>
  <si>
    <t>Propor TextureCrop, um componente de pré-processamento de imagem que melhora o desempenho de modelos de detecção de imagens sintéticas (SID) focando em partes de alta frequência da imagem onde artefatos generativos são mais prevalentes, especialmente para imagens de alta resolução.</t>
  </si>
  <si>
    <t>TextureCrop melhora o AUC em 6.1% em comparação com o Center Cropping e em 15% em comparação com o redimensionamento. Aumento médio de 12.1% em BA, 18.2% em AP e 14.9% em AUC em relação ao redimensionamento. Em comparação com CenterCrop, oferece um aumento de 4.3% em BA, 6.9% em AP e 6.1% em AUC. Em relação a TenCrop, exibe um aumento de 3.4% em BA, 3.3% em AP e 6.5% em AUC. PatchCraft demonstra os maiores ganhos com TextureCrop (+10.00% BA, +9.14% AP, +9.64% AUC). Redução do tempo de processamento de 1.05s para 0.63s e uso de memória de 17 GB para 2.08 GB para uma imagem de 2048x2048.</t>
  </si>
  <si>
    <t>Modelos SID existentes geralmente redimensionam ou cortam imagens, o que pode apagar traços de alta frequência deixados pelo processo de geração. O desempenho de detectores de última geração é consistentemente inferior em imagens de alta resolução em comparação com imagens de baixa resolução. Métodos que processam a imagem inteira em sua resolução nativa têm altos requisitos de tempo de processamento e memória.</t>
  </si>
  <si>
    <t>Detecção de artefatos em imagens de alta resolução. Preservação de traços sutis de alta frequência deixados pelo processo de geração. Redução dos requisitos de memória e computacionais para processamento de imagens de alta resolução. Generalização para diversas fontes de imagens falsas.</t>
  </si>
  <si>
    <t>Foco em patches de imagem ricos em textura. Uso de entropia de histograma global para seleção de patches. Ensemble de modelos. Aumento da diversidade de dados de treinamento. Métodos explicáveis (XAI) para destacar artefatos forenses.</t>
  </si>
  <si>
    <t>O uso indevido de tecnologias de IA generativa para espalhar desinformação, facilitar a personificação e atividades fraudulentas, comprometer sistemas de segurança biométrica e realizar campanhas de interferência estrangeira. A dificuldade de observadores humanos distinguirem imagens geradas por IA de imagens reais, o que representa um desafio significativo para os usuários da Internet. A necessidade de desenvolver métodos de detecção robustos e universais para identificar conteúdo gerado por IA online.</t>
  </si>
  <si>
    <t>Explorar o viés em sistemas de detecção de imagens naturais e geradas por GAN baseados em Visual Transformers, analisando o impacto da compressão de imagem no viés do modelo em domínios de gênero, raça, afetivo e interseccional.</t>
  </si>
  <si>
    <t>ViT mostra viés de gênero contra mulheres (4.45% menos acurácia total, 9.3% menos acurácia Real). Viés racial contra pessoas de pele clara (4.15% menos acurácia total, 11.1% menos acurácia Real). Viés afetivo contra rostos sorridentes (2.95% menos acurácia total, 7.1% menos acurácia Real). Viés interseccional contra mulheres de pele clara (8.6% menos acurácia total, 20.4% menos acurácia Real). A compressão JPEG amplifica o viés, especialmente nas previsões da classe GAN para todos os modelos de Transformer. CvT e Swin Transformer mostram pouco viés em cenários não comprimidos, mas alto viés em cenários comprimidos.</t>
  </si>
  <si>
    <t>Poucos estudos exploram o viés em sistemas forenses de imagem. A maioria dos estudos de viés em deepfakes foca em vídeos. A robustez dos algoritmos contra compressão de imagem é um fator importante a ser considerado. A queda de acurácia em cenários comprimidos é muito alta para modelos existentes. A dificuldade em obter datasets com grupos balanceados para análise de viés.</t>
  </si>
  <si>
    <t>Garantir que os modelos computacionais sejam justos e não produzam resultados enviesados que possam prejudicar grupos sociais ou causar ameaças de segurança. Mitigar o viés algorítmico. Analisar o impacto da compressão de imagem no viés do modelo. A necessidade de desenvolver modelos forenses justos e confiáveis para o mundo real.</t>
  </si>
  <si>
    <t>Uso de Visual Transformers para classificação de imagens. Análise de viés em múltiplos domínios (gênero, raça, afetivo, interseccional). Avaliação de viés em cenários comprimidos e não comprimidos. Desenvolvimento de frameworks de avaliação de viés generalizados. Extensão da análise para modelos de difusão. Mitigação de viés em modelos forenses.</t>
  </si>
  <si>
    <t>O uso indevido de imagens GAN para notícias falsas, difamação, pornografia deepfake e ameaças à segurança. Sistemas forenses injustos podem classificar imagens de certos grupos sociais como GAN, mesmo que sejam naturais, ou vice-versa, criando preocupações de segurança. A amplificação do viés com a compressão de imagem aumenta o risco de ameaças à segurança para certos grupos sociais.</t>
  </si>
  <si>
    <t>Melhorar o desempenho da detecção de imagens geradas por IA em cenários de domínio cruzado (cross-generator e cross-scene) através da purificação de características de artefatos.</t>
  </si>
  <si>
    <t>Para detecção cross-generator, a acurácia média do APN é 5.6% a 16.4% maior que os 11 métodos anteriores no dataset GenImage, e 1.7% a 50.1% maior no dataset DiffusionForensics. Para detecção cross-scene, a acurácia média do APN em amostras fora do cenário é apenas 0.1% menor do que em amostras dentro do cenário. APN atinge 80.4% de acurácia média no GenImage e 98.7% no DF.</t>
  </si>
  <si>
    <t>Purificação explícita e implícita de características de artefatos. Combinação de modalidades (frequência e espacial). Uso de Visual Transformers e ResNets como backbones. Otimização do número de propostas para diferentes datasets. Possibilidade de usar meta-learning ou proposal dropout para determinar o número ideal de propostas.</t>
  </si>
  <si>
    <t>O rápido desenvolvimento de tecnologias de geração de conteúdo visual (AIGC) traz riscos potenciais de segurança, como a geração maliciosa de notícias falsas e biometria de pessoas sem permissão. A necessidade de pesquisas em detecção de imagens geradas por IA para mitigar esses riscos.</t>
  </si>
  <si>
    <t>Detecção interpretável de imagens geradas por IA, com foco em superar as limitações de generalização e interpretabilidade dos métodos existentes, utilizando o prior de canal escuro.</t>
  </si>
  <si>
    <t>DC-BiNet (rede neural bilinear baseada em prior de canal escuro), 1x1 Convoluções, Group Normalization, ReLU, Bilinear Pooling, EfficientNet-B0 (backbone), AdamW optimizer, Mixed Precision Training, SHAP (SHapley Additive exPlanations) para análise de importância de características.</t>
  </si>
  <si>
    <t>Detecção de imagens geradas por GANs (incluindo Deepfakes, adulteração de imagens e ocultação de informações) usando um modelo de Deep Learning que combina características de domínio espacial e de frequência para melhorar a precisão e a generalização.</t>
  </si>
  <si>
    <t>Rede Neural Convolucional (CNN) de fluxo duplo espacial-frequência, kernels de filtragem de domínio de frequência aprendíveis, rede de domínio de frequência, rede de domínio espacial, Transformada Cosseno Discreta (DCT), Transpose Convolution, Nearest-Neighbor Interpolation, LReLU (função de ativação), regularização L2, Softmax.</t>
  </si>
  <si>
    <t>Acurácia (ACC).</t>
  </si>
  <si>
    <t>Detecção de imagens geradas por GANs usando análise de gradiente de cor.</t>
  </si>
  <si>
    <t>Investigar a segurança dos métodos de detecção de imagens geradas por GANs, desenvolvendo um método para evadir a detecção geral, disentangulando características relacionadas e não relacionadas à diferenciação entre imagens reais e geradas.</t>
  </si>
  <si>
    <t>GAN (Generative Adversarial Network), ProGAN, SNGAN, MMDGAN, CramerGAN, StyleGAN2, StyleGAN3, CNN-based Detector (CNND), GAN DCT Analysis (DCTA), GAN FingerPrint Analysis (FPA), Co-Occurrence Matrices (COM), UniversalFakeDetect (UFD), PCA, KSVD, BAttGAND, AdaIN (Adaptive Instance Normalization), DCT (Discrete Cosine Transform), L1 loss.</t>
  </si>
  <si>
    <t>N/A (o artigo foca na proposição e avaliação de um novo método, não em limitações de seu próprio trabalho).</t>
  </si>
  <si>
    <t>Propor uma rede de atenção compacta e leve que explora padrões de alta frequência e resíduos de ruído de imagens para detecção de imagens geradas por GANs, visando generalização e robustez.</t>
  </si>
  <si>
    <t>CNN (Convolutional Neural Network), Multi-head Attention (MHA), Bilateral High Pass Filter (BiHPF), Photo Response Non-Uniformity (PRNU), Adam optimizer, t-SNE (t-distributed Stochastic Neighbor Embedding).</t>
  </si>
  <si>
    <t>O avanço na síntese de imagens realistas levanta sérias preocupações sobre o potencial uso indevido de imagens falsas geradas, tornando crucial o desenvolvimento de técnicas eficientes para detectar falsificações de imagens.</t>
  </si>
  <si>
    <t>Distinguir entre imagens geradas por computador (CG) e imagens fotográficas naturais (PG) utilizando uma nova rede neural de aprendizado de textura profunda multi-escala (MDTL-NET).</t>
  </si>
  <si>
    <t>MDTL-NET (Multi-scale Deep Texture Learning Neural Network), ResNet (para módulo de representação de textura global), Módulo de Aprimoramento de Textura Profunda (baseado em transformação afim guiada por mapa de segmentação semântica), Mecanismos de Atenção (canal e espacial), LTR (Low-rank Tensor Representation) para fusão de características, CNN (Convolutional Neural Networks), GAN (Generative Adversarial Network), Diffusion Models (DM), VGG-16, Xception.</t>
  </si>
  <si>
    <t>Acurácia (ACC), Taxa de Verdadeiros Positivos (TPR), Taxa de Verdadeiros Negativos (TNR).</t>
  </si>
  <si>
    <t>desenvolvimento de um detector de imagens geradas por GANs (Generative Adversarial Networks) que apresente alta capacidade de generalização, especialmente para detectar imagens sintéticas produzidas por modelos GAN desconhecidos ou não vistos durante o treinamento. Para isso, propõe-se um esquema de aprendizado auto-supervisionado que reduz a dependência de dados de imagens falsas durante o treinamento, superando limitações de métodos supervisionados tradicionais.</t>
  </si>
  <si>
    <t>Acurácia de 99.2% na classificação multiclasse (Real vs. Manipulado vs. Fake) usando o modelo ensemble. O modelo ensemble supera o classificador CLIP multiclasse ao aumentar a precisão na detecção de imagens manipuladas e falsas.O modelo CLIP sozinho já apresentava alto desempenho para detecção de reais (recall de 100% em vários casos).</t>
  </si>
  <si>
    <t>Principais Insights</t>
  </si>
  <si>
    <t>Diversidade e Escala do Dataset ArtiFact: O ArtiFact é o maior conjunto de dados do tipo, contendo quase 2,5 milhões de imagens divididas em 964.989 reais e 1.531.749 falsas, abrangendo 25 métodos geradores, incluindo GANs, modelos de difusão e outros. Essa diversidade é crucial para treinar detectores capazes de generalizar melhor, pois cobre um amplo espectro de técnicas e categorias de objetos, refletindo a variedade encontrada em cenários do mundo real.
Generalização com a Classe “Unseen Fake”: A inclusão de uma classe específica para imagens falsas geradas por geradores não vistos (Unseen Fake - UF) durante o treinamento é uma inovação essencial. Esse esquema multiclasse permite que o modelo aprenda características mais gerais e não dependa exclusivamente das assinaturas dos geradores conhecidos, ampliando a capacidade de detecção para casos inéditos, algo ausente em abordagens binárias tradicionais.
Robustez a Degradações por Meio da FSR: As imagens compartilhadas em plataformas sociais frequentemente sofrem compressão e redimensionamento, que apagam detalhes técnicos essenciais para a detecção de imagens sintéticas. A técnica Filter Stride Reduction, aplicada na camada inicial da rede ConvNeXt, reduz a perda de informações importantes ao processar essas imagens, preservando os artefatos gerados pelo modelo sintético e aumentando a robustez do detector.
 Superioridade Comprovada em Competição Internacional: O método proposto atingiu resultados expressivos no IEEE VIP Cup 2022, superando as equipes concorrentes em até 15% de acurácia em conjuntos de teste com geradores desconhecidos e imagens degradadas. Isso valida na prática a eficácia da combinação do dataset com a abordagem multiclasse e a técnica FSR.
Transformação do Problema Binário em Multiclasse: Tradicionalmente, a detecção de imagens falsas é tratada como um problema binário (real vs falso). Este trabalho demonstra que transformar a tarefa em multiclasse, onde cada gerador conhecido é uma classe distinta e há uma classe extra para geradores desconhecidos, melhora a capacidade do modelo de aprender diferentes características e padrões, o que reforça a generalização e a precisão.
Importância dos Artefatos Únicos dos Modelos Generativos: Diferentes geradores deixam “impressões digitais” específicas nas imagens, como padrões em bandas de cor, espectros na frequência e variações na intensidade. Explorar essas características permite identificar a procedência das imagens sintéticas. No entanto, esses artefatos podem ser atenuados por compressão e manipulação, exigindo técnicas robustas como as propostas.
Realismo na Construção do Dataset: Para simular condições reais, o ArtiFact aplica operações de recorte aleatório e compressão JPEG em imagens reais e sintéticas, reproduzindo as condições encontradas nas redes sociais. Essa estratégia assegura que os detectores treinados no dataset sejam mais eficazes em cenários do dia a dia, onde as imagens raramente estão em qualidade original.</t>
  </si>
  <si>
    <t>Complementaridade entre Detetores Baseados em Artefatos e Encoders: Métodos como no-down (artefatos) se destacam em GANs e compressões, enquanto UFD (CLIP:ViT) é superior para imagens de difusão e transformers. Essa análise sugere que detetores híbridos ou ensemble podem capturar melhor a diversidade dos modelos atuais. Visualização como Ferramenta de Interpretação: O uso de t-SNE e Grad-CAM mostrou que diferentes detectores focam em regiões distintas das imagens. Essa abordagem ajuda a explicar por que certos métodos falham ou têm viés, auxiliando na construção de modelos mais transparentes e interpretáveis. Desempenho Sensível a Compressão e Blur: Todos os métodos analisados sofreram queda de desempenho com compressão JPEG e desfoque, reforçando a necessidade de aumento de dados com perturbações realistas durante o treinamento. Avaliação Abrangente com Múltiplos Modelos Geradores: O artigo testa detectores com mais de 20 tipos de geradores (GANs, Diffusion, Transformers), oferecendo uma visão clara da capacidade de generalização cruzada dos métodos — algo raro em estudos anteriores.</t>
  </si>
  <si>
    <t>Detecção Geral com Pouquíssimos Exemplos: Com apenas 0.56% do dataset original (4.000 imagens), o FAMSeC supera métodos state-of-the-art em mais de 14% de acurácia, sendo ideal para contextos com dados escassos ou geradores fechados (ex: Midjourney, DALL·E 3). Combinação de LoRA com CLIP:ViT: O uso do LoRA na arquitetura CLIP:ViT-L/14 evita o overfitting em cenários few-shot e mantém as características generalistas do backbone. Aprendizado Contrastivo Guiado Semântico (SeC): A estratégia SeC ajuda o modelo a focar nas diferenças entre imagens reais e falsas, e não nos detalhes específicos dos exemplos de treino, melhorando a generalização. Versatilidade Contra Múltiplos Geradores: O FAMSeC é testado com sucesso em GANs, diffusion e transformers, mostrando-se versátil mesmo com poucos dados de cada tipo de gerador.</t>
  </si>
  <si>
    <t>Detecção via Impressão Digital Espectral: O DIF explora artefatos gerados pelas estruturas de CNNs dos modelos sintéticos. Esses “fingerprints” são extraídos no domínio de frequência (FFT), oferecendo um método explicável e leve para detecção. Desempenho com Pouquíssimos Dados: Com apenas 128 a 1024 amostras, o DIF atinge até 99.3% de acurácia, provando eficácia mesmo com recursos limitados, ideal para aplicações práticas. Análise de Linhagem de Modelos: Além da detecção, o DIF permite traçar relações entre modelos fine-tuned, como identificar que imagens vieram de versões adaptadas de um mesmo modelo base (ex: SD 1.4 → DreamBooth). Limitações em Imagens com Compressão: Apesar do bom desempenho geral, o método perde precisão em imagens com artefatos fracos ou alta compressão, o que exige mais estudo sobre robustez espectral.</t>
  </si>
  <si>
    <t xml:space="preserve">Abordar a manipulação de imagens contra-forense baseada em modelos de difusão para detecção de imagens sintéticas, especificamente a reconstrução de imagens reais com autoencoders de modelos de difusão para fazê-las parecerem sintéticas, e desenvolver algoritmos para detectar essas imagens manipuladas, além de imagens reais e puramente sintéticas. </t>
  </si>
  <si>
    <t>Desempenho em Cenário Realista e Generalização Limitada A competição propôs um cenário realista com imagens parcialmente manipuladas e geradores desconhecidos, destacando a dificuldade dos detectores em generalizar. Mesmo modelos avançados como Vision Transformers e ensembles sofreram queda de até 10% de acurácia ao lidar com dados fora do treinamento, evidenciando a necessidade de abordagens mais robustas e amplamente treinadas.</t>
  </si>
  <si>
    <t>Fusão Espaço-Frequência Melhora a Detecção de Deepfakes A arquitetura dual-stream (espacial + frequência) com filtros aprendíveis mostrou desempenho excepcional (&gt;99%) para GANs conhecidos, mas teve sua eficácia reduzida sob compressão e ruído. Isso revela o potencial da fusão de domínios, mas também a necessidade de maior robustez contra distorções comuns em ambientes reais.</t>
  </si>
  <si>
    <t>Gradientes de Cor São Indicadores Visuais Potentes A análise de gradientes em múltiplos espaços de cor, combinada com histogramas direcionais (MGLH), alcançou altos índices de acurácia (&gt;99%) para diversos GANs. Além da precisão, a abordagem destaca-se pela interpretabilidade, mas sofre com aumento da dimensionalidade do vetor de características e leve queda sob filtragem de mediana.</t>
  </si>
  <si>
    <t>Cross-Attention é Eficaz para T2I com Modelos de Difusão Focado em imagens geradas por texto (ex: DALL·E2, DreamStudio), o modelo dual-stream com atenção cruzada superou abordagens clássicas em todos os benchmarks, com acurácia de até 98.5%. A inovação está em capturar artefatos de baixa e alta frequência simultaneamente. Contudo, o artigo não discute limitações práticas, como adversarial robustness ou interpretabilidade.</t>
  </si>
  <si>
    <t xml:space="preserve">Detecção de imagens geradas por IA (AI-generated image detection)  </t>
  </si>
  <si>
    <t>Limitações Identificadas: N/A (o artigo é um relatório de desafio, não foca nas limitações de um estudo específico, mas sim nos desafios do campo)</t>
  </si>
  <si>
    <t xml:space="preserve">Melhor AP = 0.9762, Melhor FPS = 112 (equipe wodezixingche); Score final = 0.9812 (equipe wodezixingche)  </t>
  </si>
  <si>
    <t xml:space="preserve">Redes neurais avançadas, aumento robusto de dados, datasets diversos para equilibrar o potencial criativo da IA com a necessidade de manter a confiança na autenticidade da informação visual. </t>
  </si>
  <si>
    <t>Segurança, mídia digital, processos legais (onde a autenticidade é crítica), desinformação (implícito na necessidade de detecção de imagens geradas por IA).</t>
  </si>
  <si>
    <t>Detecção sob múltiplos geradores e ambientes realistas: O desafio proposto explora a detecção de imagens geradas por IA usando um conjunto diversificado de modelos (GANs, Diffusion, Sora, Kling, etc.) e simula condições reais (compressão, redimensionamento), promovendo soluções com alta generalização. Destaca-se a importância de métodos eficientes e escaláveis, com foco tanto em acurácia quanto em velocidade de inferência (FPS), refletindo a aplicabilidade prática da detecção em tempo real.</t>
  </si>
  <si>
    <t>Ruído como assinatura universal em modelos de difusão: Este trabalho mostra que imagens geradas por diferentes modelos de difusão compartilham padrões de ruído semelhantes e distintos de imagens reais. Ao integrar uma atenção sensível ao ruído (NASA), o modelo alcança alta generalização mesmo com geradores não vistos, o que é essencial em um campo com evolução constante de modelos generativos.</t>
  </si>
  <si>
    <t>Regeneração semântica para detecção robusta e atribuição: Ao reconstruir imagens geradas via prompts em um ciclo image→text→image, o método isola traços específicos do modelo gerador, reduzindo o impacto de variações semânticas no prompt. Isso melhora tanto a detecção quanto a atribuição, especialmente em cenários com poucas amostras ou geradores comerciais fechados, onde métodos tradicionais falham.</t>
  </si>
  <si>
    <t>Detecção interpretável com prior de canal escuro: O uso do prior de canal escuro revela diferenças estatísticas sutis entre imagens reais e sintéticas que outros métodos ignoram. Ao combinar isso com bilinear pooling e convoluções 1x1, o DC-BiNet se destaca tanto em acurácia quanto em interpretabilidade, o que é especialmente relevante para aplicações forenses. A abordagem também é computacionalmente eficiente (0.72B FLOPs), tornando-a viável para uso em sistemas reais.Além disso, o modelo mantém consistência em diferentes seeds e cenários, evidenciando sua robustez estatística — algo raro em detectores baseados em redes profundas.</t>
  </si>
  <si>
    <t>Textura como pista persistente contra falsificações realistas: MDTL-NET propõe que os padrões de textura são traços mais difíceis de serem replicados com perfeição por modelos generativos. Sua abordagem foca no aprendizado profundo de texturas multi-escala com aprimoramento guiado por segmentação semântica. O modelo mostrou robustez a compressão, ruído e transformações adversas, sendo promissor em ambientes não controlados.O novo dataset DSGCG enriquece a avaliação com grande diversidade (TCG, GANs e Diffusion), fortalecendo a capacidade de generalização do modelo.</t>
  </si>
  <si>
    <t>CLIP é forte, mas não invulnerável: O estudo revela que detectores baseados em CLIP, embora eficazes e generalistas, são vulneráveis a ataques adversariais white-box, assim como os baseados em CNN. No entanto, ataques não se transferem facilmente entre CLIP e CNN, o que sugere que a combinação dessas abordagens pode aumentar a robustez. A análise espectral mostrou que cada arquitetura explora faixas de frequência distintas, o que aprofunda o entendimento de como elas funcionam e como podem ser complementares.</t>
  </si>
  <si>
    <t>Integração de atenção entre local e global: A proposta híbrida de CNN + ViT + Mecanismo de Atenção melhora significativamente o desempenho ao combinar a capacidade de extração local de CNNs com a visão contextual ampla dos Transformers. Essa fusão se mostrou eficaz para detectar imagens geradas por IA com alta fidelidade.O modelo obteve 99.77% de acurácia em dados não vistos, validando a eficácia da arquitetura híbrida, embora os testes ainda estejam limitados a ambientes controlados. O artigo sugere que o próximo passo é explorar cenários do mundo real, onde as imagens estão sujeitas a ruído, compressão e edições.</t>
  </si>
  <si>
    <t>VAE, GAN, Diffusion Models (Stable Diffusion v1.5, Stable Diffusion v2.1), StyleGAN2, ADM, VQDM, Midjourney, CNNs, Vision-Language Models (CLIP, BLIP), Fully Connected Layers, ReLU activation function, Adam optimizer.</t>
  </si>
  <si>
    <t>Melhorar a generalização de detectores de imagens geradas por IA para modelos não vistos. - Aumentar a interpretabilidade dos resultados de detecção para aplicações forenses. - Superar a dependência de artefatos de domínio de frequência específicos de modelos. - Lidar com a rápida evolução das tecnologias de geração de imagens.</t>
  </si>
  <si>
    <t>Este estudo apresenta uma abordagem inovadora para atacar detectores de imagens geradas por GANs por meio da técnica de disentanglement, que separa características relevantes e irrelevantes à diferenciação entre imagens reais e sintéticas. O objetivo central é investigar a segurança de métodos de detecção generalistas e propor um mecanismo de evasão capaz de enganar detectores avançados sem comprometer a qualidade visual da imagem. O método desenvolvido alcança reduções expressivas nas taxas de detecção por técnicas consagradas, como DCTA e UFD, com acurácia inferior a 60% em cenários onde outros ataques superam 75%, aproximando-se, assim, de um nível quase aleatório de detecção. Além disso, apresenta o menor FID entre os métodos de evasão avaliados, demonstrando manutenção de qualidade visual. O artigo não discute limitações explícitas, mas deixa evidente que detectores fortemente dependentes de padrões específicos podem ser burlados por estratégias adaptativas como essa. Embora o foco principal seja o ataque, os autores reconhecem que futuras pesquisas poderiam empregar o mesmo princípio de disentanglement para fortalecer detectores. As implicações sociais são graves: imagens geradas por GANs com alta fidelidade visual e baixa detectabilidade podem ser utilizadas em contextos maliciosos, como manipulação de evidências, fraudes ou disseminação de desinformação, o que reforça a necessidade de detectores mais robustos e generalizáveis.</t>
  </si>
  <si>
    <t>Este artigo aborda a detecção de imagens sintéticas com foco na generalização entre diferentes conceitos visuais, como, por exemplo, treinar o detector com rostos humanos e testá-lo com imagens de animais. Os autores propõem uma estratégia de amostragem baseada na qualidade das imagens geradas, utilizando uma métrica probabilística (Quality Calculation Score) derivada de um modelo GMM, em vez de amostragem aleatória tradicional. O trabalho avalia a técnica com imagens geradas por StyleGAN2 e Latent Diffusion, e os resultados indicam melhorias substanciais no desempenho, com aumento de até 10% na AUC em tarefas de detecção entre domínios conceituais. Além disso, a técnica resultou em modelos mais estáveis, com menor desvio padrão nas métricas de desempenho. Embora os resultados sejam promissores, os autores reconhecem que ainda há espaço para avanços no desenvolvimento de detectores capazes de lidar com uma variedade ainda maior de conceitos e arquiteturas. O artigo também alerta para os riscos da proliferação de imagens hiper-realistas geradas por IA, sobretudo em escala, reforçando a necessidade de métodos de detecção mais eficazes para mitigar os efeitos da desinformação digital.</t>
  </si>
  <si>
    <t>O foco deste trabalho é aumentar a capacidade de generalização de detectores de imagens geradas por GANs por meio de uma técnica de aumento de dados aplicada ao domínio das impressões digitais (fingerprints) dessas imagens. Para isso, os autores utilizam um autoencoder capaz de isolar e recombinar fingerprints com o conteúdo visual, gerando novas imagens com fingerprints sintéticas que simulam diversas arquiteturas GAN. Essas perturbações são realizadas com técnicas como scaling e mixup. A proposta é testada com diferentes arquiteturas de detectores (ResNet50, ResNet18, Xception), e os resultados mostram que o método supera o estado da arte com melhorias superiores a 4% em acurácia e 1.9% em precisão média (AP) em avaliações inter-GAN. O método também se mostra eficiente mesmo com conjuntos de treinamento reduzidos. Entre as limitações identificadas, os autores apontam a dificuldade dos detectores atuais em lidar com fingerprints específicas de cada arquitetura, o que reforça a importância de diversificar os sinais aprendidos durante o treinamento. A proposta oferece um caminho promissor para construir detectores mais resilientes a falsificações realistas e contribui para mitigar os riscos sociais associados à manipulação visual maliciosa.</t>
  </si>
  <si>
    <t>Este estudo apresenta uma revisão crítica dos paradigmas atuais de treinamento para detecção de imagens sintéticas (SID), identificando dois principais vieses que comprometem a generalização: o enfraquecimento de artefatos durante o pré-processamento (especialmente via downsampling) e o superajuste a características específicas de conjuntos limitados de treinamento. Em resposta, os autores propõem o pipeline SAFE, que substitui o downsampling por operações de crop, e utiliza técnicas como ColorJitter, RandomRotation e RandomMask para forçar o modelo a aprender padrões locais relevantes. A arquitetura emprega transformações baseadas em DWT (Discrete Wavelet Transform) para capturar artefatos de alta frequência, complementadas por CNNs e Transformers. Avaliado em benchmarks extensivos com 26 modelos generativos, o SAFE alcançou acurácia média de 96.7% e precisão média de 99.3%, superando métodos anteriores. Apesar dos resultados expressivos, os autores apontam que a robustez do método frente a perturbações como compressão JPEG ainda é limitada. O artigo reafirma a urgência de desenvolver detectores generalizáveis frente à crescente sofisticação dos modelos generativos, os quais podem ser utilizados em contextos como deepfakes, desinformação e violações de privacidade.</t>
  </si>
  <si>
    <t>O objetivo deste artigo é investigar a equidade de classificadores de imagens naturais e geradas por GANs, com foco específico em modelos baseados em Visual Transformers como ViT, CvT e Swin. Os autores propõem uma metodologia sistemática de avaliação de viés, aplicando métricas individuais (acurácia por grupo, FPR, FNR) e pareadas (ACS, DP, EO) para quatro domínios demográficos: gênero, raça, traços afetivos e interseccionalidade. Utilizando o dataset FFHQ para imagens reais e StyleGAN2 para imagens falsas, o estudo revela que modelos como ViT apresentam viés significativo contra mulheres, pessoas de pele clara e rostos sorridentes. Por exemplo, a acurácia para mulheres de pele clara foi até 20.4% inferior na detecção de imagens reais. Um achado particularmente preocupante é que a compressão JPEG — comum em plataformas online — amplifica os vieses demográficos em praticamente todos os modelos Transformers analisados. Modelos como CvT e Swin, que apresentam baixa tendência ao viés em condições ideais, tornam-se altamente enviesados após compressão. O estudo também aponta a escassez de datasets balanceados como uma limitação significativa na análise de viés. Embora mencione modelos de difusão apenas como trabalho futuro, a proposta é relevante para a área forense ao destacar que sistemas automatizados de detecção podem, inadvertidamente, reforçar desigualdades sociais caso não sejam projetados com critérios de equidade. Assim, o artigo contribui com uma chamada importante para o desenvolvimento de métodos de detecção não apenas robustos e precisos, mas também justos e transparentes.</t>
  </si>
  <si>
    <t>O artigo apresenta o SIDBench, um framework em Python projetado para avaliar de forma confiável e sistemática métodos de detecção de imagens sintéticas geradas por inteligência artificial. Motivado pela crescente discrepância entre os altos desempenhos reportados em benchmarks laboratoriais e o fraco desempenho dos modelos em cenários reais, os autores desenvolveram uma plataforma modular que permite testar uma ampla variedade de abordagens de detecção em múltiplos datasets e contra diversos geradores, incluindo modelos baseados em GANs (como StyleGAN, ProGAN e BigGAN) e modelos de difusão (como Stable Diffusion, Glide e DALL·E). O framework integra detectores clássicos baseados em fingerprints, métodos supervisionados e modelos fundacionais como CLIP. Os resultados demonstram que a maioria dos métodos generaliza mal para modelos de geração não vistos, em especial para aqueles baseados em difusão. A acurácia média dos modelos testados em datasets de alta qualidade como o Synthbuster caiu para cerca de 50%, indicando limitações significativas dos métodos existentes frente a imagens modernas e realistas. Além disso, observou-se alta sensibilidade a transformações simples como compressão JPEG e redimensionamento. Os autores concluem que a detecção de imagens geradas por IA ainda enfrenta sérios desafios de generalização, eficiência e robustez, e destacam a importância de frameworks como o SIDBench para padronizar e impulsionar pesquisas futuras mais realistas e reprodutíveis.</t>
  </si>
  <si>
    <t>Este artigo introduz o LaRE2, um novo método de detecção de imagens sintéticas voltado para imagens geradas por modelos de difusão, que utiliza como base o erro de reconstrução latente (Latent Reconstruction Error – LaRE). Os autores argumentam que imagens geradas por difusão tendem a ser mais fáceis de reconstruir do que imagens reais e, com base nisso, propõem um modelo que explora essa diferença para classificação. O LaRE2 realiza a reconstrução por meio de uma única etapa de amostragem inversa no espaço latente, diferentemente de métodos anteriores como DIRE, que exigem múltiplas iterações e apresentam custo computacional elevado. Além disso, o modelo inclui um módulo de refinamento de características guiado por erro (EGRE), que melhora a qualidade dos vetores extraídos tanto nos domínios espacial quanto de canal. Os testes foram realizados sobre o benchmark GenImage, composto por mais de 2,6 milhões de imagens geradas por modelos diversos, como BigGAN, GLIDE, ADM e Stable Diffusion. O LaRE2 superou o melhor método anterior em até 12,1% em AP e mostrou ser até 8 vezes mais rápido na extração de características. Os resultados evidenciam que a reconstrução latente oferece uma forma eficiente e eficaz de identificar padrões característicos de imagens geradas por difusão. Os autores concluem que o LaRE2 é uma contribuição promissora tanto do ponto de vista da acurácia quanto da escalabilidade, especialmente em um cenário onde os modelos de difusão se tornaram a principal tendência em geração de imagens realistas.</t>
  </si>
  <si>
    <t>O artigo apresenta o SFLD, um método inovador para detecção de imagens geradas por IA que busca mitigar o viés de conteúdo comum em detectores atuais, ao combinar informações semânticas de alto nível e texturais de baixo nível. Os autores identificam que muitos detectores tendem a se apoiar excessivamente nas classes de conteúdo vistas durante o treinamento, o que compromete a generalização para imagens com novos contextos visuais, especialmente quando se trata de diferentes domínios geradores. Para resolver esse problema, o SFLD emprega a técnica PatchShuffle, que embaralha os patches da imagem de entrada, desestabilizando a estrutura semântica global e forçando o modelo a considerar padrões de textura locais para a detecção. A abordagem é avaliada usando um novo benchmark, o TwinSynths, que contém pares visuais quase idênticos de imagens reais e sintéticas, garantindo comparações mais justas. Os resultados mostram que o SFLD alcança uma média de 98,43 em AP, superando outros métodos como o UnivFD, e apresenta desempenho robusto mesmo sob condições adversas, como compressão JPEG e desfoque. Os autores concluem que a integração de múltiplas fontes de informação — semântica e textural — é essencial para desenvolver detectores verdadeiramente generalizáveis. Além disso, destacam que benchmarks mais rigorosos, como o TwinSynths, são fundamentais para medir com precisão a eficácia dos métodos em cenários realistas e éticos, dada a crescente preocupação com o uso malicioso de imagens geradas por IA.</t>
  </si>
  <si>
    <t>O artigo propõe uma rede neural leve e eficiente para detectar imagens falsas geradas por GANs, com foco em generalização e robustez. O modelo combina dois tipos de informação extraída das imagens: padrões de alta frequência por meio de filtro bilateral (BiHPF) e ruídos residuais por meio da técnica PRNU, formando uma imagem de dois canais. Esses dados são processados por uma rede com mecanismo de atenção, capaz de distinguir imagens reais e sintéticas de forma precisa. Os autores realizam testes extensivos usando o benchmark de Wang et al., incluindo GANs como ProGAN, StyleGAN, BigGAN e outros, além de manipulações de cor. Mesmo treinado com um único tipo de GAN, o modelo se destaca, superando métodos estado-da-arte em acurácia e precisão, com médias de até 84% de acurácia e 81% de precisão em testes cross-GAN, e 97,4% de acurácia em testes com alterações de cor. A proposta é robusta, de fácil integração com outras abordagens e adequada para diferentes contextos, incluindo possíveis aplicações móveis. O trabalho reforça a importância de detectar deepfakes diante do avanço das técnicas de geração de imagens realistas e alerta para os riscos de seu uso indevido.</t>
  </si>
  <si>
    <t>Melhorar a detecção de imagens sinteticamente geradas em configurações de conceito cruzado, focando na generalização entre diferentes classes de conceitos (e.g., treinar em faces humanas e testar em imagens de animais sintéticas) e propondo uma estratégia de amostragem baseada na qualidade da imagem para o treinamento.</t>
  </si>
  <si>
    <t>Melhorar a generalização na detecção de imagens sintéticas (SID) através de uma perspectiva de transformação de imagem, abordando vieses comuns em paradigmas de treinamento (características de artefato enfraquecidas e superajustadas) e aumentando a consciência local.</t>
  </si>
  <si>
    <t>Métodos existentes sofrem quedas de desempenho significativas em geradores e cenas fora do domínio. A purificação explícita não garante a purificação completa da informação de artefato diluída nas características.</t>
  </si>
  <si>
    <t>Superar a queda de desempenho de detectores de imagens geradas por IA em cenários cross-domain (cross-generator e cross-scene). Extrair características de artefatos agnósticas ao domínio. Lidar com o overfitting a artefatos específicos do gerador e a artefatos enviesados por objetos.</t>
  </si>
  <si>
    <t>Vulnerabilidade dos detectores baseados em artefatos de frequência: A reconstrução de imagens reais por autoencoders de DMs introduz artefatos de frequência que são indistinguíveis dos artefatos típicos de imagens sintéticas, levando detectores tradicionais a classificarem imagens reais manipuladas como falsas. Isso evidencia uma fragilidade crítica nas abordagens atuais que dependem exclusivamente de traços espectrais.
 Importância de abordagens multi-features: O uso combinado de características extraídas do domínio da frequência (DCT) e de representações semânticas avançadas (CLIP) permite diferenciar efetivamente imagens reais, manipuladas e sintéticas. A complementaridade dessas informações melhora a robustez e a confiabilidade da detecção.
Eficiência do ensemble para detecção multiclasses: O método em ensemble proposto atua inicialmente filtrando imagens reais via CLIP e, em seguida, refinando a distinção entre manipuladas e falsas por meio do classificador DCT. Essa estratégia hierárquica maximiza a precisão e reduz falsos positivos e negativos, especialmente para imagens manipuladas.
Dataset diversificado e realista: A utilização de datasets variados — Elsa-D3, COCO, ImageNet e UCID — para treinamento e testes, incluindo múltiplos modelos de difusão populares (Stable Diffusion em várias versões, Deep Floyd), confere maior generalização e validade prática aos resultados obtidos.
Resiliência e limitações técnicas: O desempenho dos classificadores baseados em DCT cai drasticamente quando as imagens são redimensionadas, evidenciando a necessidade de técnicas de pré-processamento robustas para uso em cenários reais, onde manipulações básicas são comuns.
Panorama futuro promissor: A pesquisa sugere que a incorporação de Vision Language Models (VLMs) e transformadores de imagem pode abrir caminho para detectores mais poderosos e resistentes a contra-forenses, superando limitações dos métodos atuais.
Relevância forense da classificação tripartida: Identificar não apenas imagens falsas, mas também aquelas reais que foram manipuladas por DMs, é crucial para aplicações forenses, pois preserva informações sobre interferências intencionais, melhorando a transparência e a confiabilidade do processo de verificação.</t>
  </si>
  <si>
    <t>Convolutional Neural Networks (CNNs), Contrastive Language Image Pretraining (CLIP), Diffusion Models (DMs), Autoencoders de Diffusion Models (Stable Diffusion 1.4), Multilayer Perceptron (MLP), Discrete Cosine Transform (DCT), Ensemble Models.</t>
  </si>
  <si>
    <t>DIRE como Representação Específica para Difusão: A reconstrução do erro (DIRE) captura padrões específicos da geração por difusão, permitindo detecção robusta mesmo sem artefatos visuais aparentes. Isso supre falhas de detectores tradicionais que não conseguem identificar imagens de modelos de difusão fine-tuned. Generalização com Desempenho Quase Perfeito: Mesmo sem exposição direta a todos os modelos de difusão, DIRE atinge 99.9% de ACC e 100% de AP em cenários variados, mostrando excelente transferência para geradores não vistos. Robustez a Perturbações Visuais: DIRE mantém desempenho estável sob compressão JPEG e blur — um diferencial chave frente a métodos que perdem precisão nessas condições. Estabelecimento de Benchmark Específico para Difusão: A criação do DiffusionForensics como benchmark específico reforça a importância de desenvolver e avaliar detectores em contextos mais realistas e direcionados.</t>
  </si>
  <si>
    <t xml:space="preserve"> CIFAKE: Real and AI-Generated Synthetic Images, ImageNet-21k, ImageNet-1k.</t>
  </si>
  <si>
    <t xml:space="preserve"> Elsa-D3, COCO, ImageNet, UCID.</t>
  </si>
  <si>
    <t xml:space="preserve"> ArtiFact (dataset proposto, contendo imagens de 8 fontes reais e 25 métodos de geração sintética, incluindo 13 GANs, 7 Diffusion e 5 outros), COCO (para legendas e máscaras de imagem).</t>
  </si>
  <si>
    <t>Ano</t>
  </si>
  <si>
    <t>Título</t>
  </si>
  <si>
    <t>Acurácia (Acc).</t>
  </si>
  <si>
    <t>LSUN (imagens reais de cavalos), ProGAN (imagens geradas de cavalos, carros, gatos e aviões, e 20 categorias de objetos diferentes), StyleGAN, StyleGAN2, BigGAN, CycleGAN, StarGAN, GauGAN, FaceSwap, CelebA, CelebA-HQ, COCO, ImageNet.</t>
  </si>
  <si>
    <t>O método proposto (Ours) alcança 92.0% de Acurácia e 97.7% de Precisão Média em desempenho entre categorias, superando métodos supervisionados e não supervisionados. No desempenho zero-shot entre modelos, o detector GAN proposto, treinado com apenas uma categoria real (cavalo) e nenhuma categoria falsa, atinge a maior acurácia e precisão média para detectar modelos GAN não vistos (ex: StyleGAN: 71.5% Acc., 79.1% A.P.; StyleGAN2: 70.0% Acc., 79.3% A.P.). Em aprendizado few-shot, o modelo proposto com 0 shots (zero-shot) alcança desempenho competitivo no domínio alvo (ex: 98.3% AUROC para StyleGAN TRG) e supera outros no domínio fonte (ex: 76.5% AUROC para StyleGAN SRC). Com 2000 imagens de treinamento, o modelo atinge 97.4% em AUROC. Estudos de ablação mostram que a exclusão do autoencoder sem upsampling (Gnon​) causa disparidade de desempenho entre GANs, e o algoritmo Mixup melhora o desempenho na maioria dos domínios GAN.</t>
  </si>
  <si>
    <t>Detectores GAN anteriores sofrem de dependência de dados devido ao overfitting a GANs específicos e categorias de dados de treinamento. Artefatos em nível de frequência diferem entre modelos generativos e categorias de objetos, tornando os detectores GAN dependentes de dados e levando à degradação do desempenho com modelos ou categorias não vistos. É inviável obter dados de treinamento para modelos GAN desconhecidos usados por abusadores. É impossível atualizar o treinamento do modelo de forma supervisionada diariamente devido ao surgimento de novos métodos de manipulação. O aprendizado direto de artefatos de outros autoencoders (sem Gnon​) pode resultar na extração de artefatos fortes, diminuindo a eficácia do detector em imagens geradas com artefatos fracamente incorporados.</t>
  </si>
  <si>
    <t>Distinguir imagens geradas de imagens reais, especialmente fora das configurações de treinamento. Superar a dependência de dados decorrente do overfitting do modelo a GANs específicos e categorias de dados de treinamento. Lidar com o desafio de novos métodos de manipulação que surgem diariamente, tornando o treinamento supervisionado impraticável. Garantir a generalização robusta de detectores GAN para modelos GAN e categorias de objetos não vistos. Reconstruir diversos artefatos artificiais de imagens GAN, mesmo quando as camadas de upconvolution são removidas em alguns modelos GAN. Gerenciar o problema de desequilíbrio ao treinar o detector GAN com múltiplas imagens reconstruídas de uma única imagem real.</t>
  </si>
  <si>
    <t>Esquema auto-supervisionado, Gerador de Artefatos Artificiais (Autoencoders, Autoencoder de Upsampling de Alto Nível (Ghigh​), Autoencoder de Upsampling de Baixo Nível (Glow​), Autoencoder sem Upsampling (Gnon​)), Detector GAN (baseado em ResNet-50), Análise em nível de frequência (Transformada Rápida de Fourier - FFT), Algoritmo Mixup, Perda de reconstrução (Erro Quadrático Médio), Perda de entropia cruzada softmax.</t>
  </si>
  <si>
    <t>O avanço dos modelos generativos, embora traga vantagens, pode ser abusado para fins maliciosos como fraude, difamação e notícias falsas. A necessidade de distinguir imagens geradas de imagens reais é crucial para prevenir tal uso indevido. A dificuldade em obter dados de treinamento para modelos GAN desconhecidos usados por abusadores destaca a necessidade de métodos de treinamento não supervisionados ou auto-supervisionados mais eficientes.</t>
  </si>
  <si>
    <t>Um esquema auto-supervisionado pode melhorar significativamente a capacidade de generalização de detectores de imagens GAN, permitindo a detecção de imagens geradas mesmo por modelos GAN e categorias de objetos não vistos durante o treinamento. O gerador de artefatos artificiais proposto replica eficazmente a geração de artefatos de vários modelos GAN, independentemente da composição de suas camadas de upconvolution, levando a um treinamento robusto do detector GAN. O método demonstra desempenho robusto mesmo sem treinamento em imagens falsas geradas por modelos GAN. A inclusão de novas imagens falsas alvo no treinamento do detector GAN pode aumentar a acurácia para modelos GAN específicos sem reduzir significativamente a generalidade. O autoencoder sem upsampling (Gnon​) é crucial para alcançar desempenho consistentemente alto em vários GANs, especialmente para aqueles que geram artefatos fracos. O algoritmo Mixup contribui para a melhoria do desempenho, permitindo a geração de diversas combinações de artefatos artificiais. Embora a transformação em nível de frequência seja utilizada, os artefatos artificiais podem ser detectados eficazmente mesmo com imagens em nível de pixel, sugerindo a robustez dos próprios artefatos gerados.</t>
  </si>
  <si>
    <t>ResNet</t>
  </si>
  <si>
    <t>EfficientNet</t>
  </si>
  <si>
    <t>Xception</t>
  </si>
  <si>
    <t>Inception</t>
  </si>
  <si>
    <t>ConvNeXt</t>
  </si>
  <si>
    <t>MobileNet</t>
  </si>
  <si>
    <t>DenseNet</t>
  </si>
  <si>
    <t>VGG</t>
  </si>
  <si>
    <t>transformer</t>
  </si>
  <si>
    <t>Capsule</t>
  </si>
  <si>
    <t>CNNDetect</t>
  </si>
  <si>
    <t>CNNSpot</t>
  </si>
  <si>
    <t>GramNet</t>
  </si>
  <si>
    <t>PatchForensics</t>
  </si>
  <si>
    <t>PatchCraft</t>
  </si>
  <si>
    <t>F3Net</t>
  </si>
  <si>
    <t>GANID</t>
  </si>
  <si>
    <t>DMID</t>
  </si>
  <si>
    <t>FatFormer</t>
  </si>
  <si>
    <t>RINE</t>
  </si>
  <si>
    <t>MDTL-NET</t>
  </si>
  <si>
    <t>FreDect</t>
  </si>
  <si>
    <t>DIMD</t>
  </si>
  <si>
    <t>Spec</t>
  </si>
  <si>
    <t>PatchFron</t>
  </si>
  <si>
    <t>LNP</t>
  </si>
  <si>
    <t>LGrad</t>
  </si>
  <si>
    <t>NPR</t>
  </si>
  <si>
    <t>DIRE</t>
  </si>
  <si>
    <t>DeFake</t>
  </si>
  <si>
    <t>TextureCrop</t>
  </si>
  <si>
    <t>Deep Image Fingerprint</t>
  </si>
  <si>
    <t>UnivFD</t>
  </si>
  <si>
    <t>SBI</t>
  </si>
  <si>
    <t>CLIP</t>
  </si>
  <si>
    <t xml:space="preserve">Detecção e atribuição de imagens geradas por IA, com foco na mitigação da influência de prompts de texto e na eficácia em cenários com amostras limitadas, através de um método de regeneração de imagem guiado semanticamente. </t>
  </si>
  <si>
    <t>GAN, Stable Diffusion, Sora, Kling, Luma, Google Veo, Pika, Runway, LlamaGen, Transformer, CNN, Data augmentation (horizontal flipping, Gaussian noise, random cropping), Fully Convolutional Masked AutoEncoder</t>
  </si>
  <si>
    <t>CramerGAN</t>
  </si>
  <si>
    <t>GauGAN</t>
  </si>
  <si>
    <t>ProGAN</t>
  </si>
  <si>
    <t>StyleGAN</t>
  </si>
  <si>
    <t>SNGAN</t>
  </si>
  <si>
    <t>MMDGAN</t>
  </si>
  <si>
    <t>DCGAN</t>
  </si>
  <si>
    <t>CRN</t>
  </si>
  <si>
    <t>IMLE</t>
  </si>
  <si>
    <t>SAN</t>
  </si>
  <si>
    <t>Guided Diffusion</t>
  </si>
  <si>
    <t>Glide</t>
  </si>
  <si>
    <t>Disco Diffusion</t>
  </si>
  <si>
    <t>MidJourney</t>
  </si>
  <si>
    <t>Adobe Firefly</t>
  </si>
  <si>
    <t>DDPM</t>
  </si>
  <si>
    <t>DDIM</t>
  </si>
  <si>
    <t>Stable Diffusion</t>
  </si>
  <si>
    <t>LDM</t>
  </si>
  <si>
    <t>GoogLeNet</t>
  </si>
  <si>
    <t>MesoInception</t>
  </si>
  <si>
    <t>UniversalDet</t>
  </si>
  <si>
    <t>DC-BiNet</t>
  </si>
  <si>
    <t>APN</t>
  </si>
  <si>
    <t>LaRE</t>
  </si>
  <si>
    <t>NASA-Swin</t>
  </si>
  <si>
    <t>Ojha et al.</t>
  </si>
  <si>
    <t>Liu et al.</t>
  </si>
  <si>
    <t>Corvi et al.</t>
  </si>
  <si>
    <t>Análise de Domínio da Frequência</t>
  </si>
  <si>
    <t>Inconsistências Locais (Patches)</t>
  </si>
  <si>
    <t>"Impressão Digital" do Gerador (Fingerprint)</t>
  </si>
  <si>
    <t>Universais e Baseados em Modelos de Fundação</t>
  </si>
  <si>
    <t>Erros de Reconstrução ou Anomalia</t>
  </si>
  <si>
    <t>Arquiteturas Híbridas ou Específicas</t>
  </si>
  <si>
    <t>Runway</t>
  </si>
  <si>
    <t>Pika</t>
  </si>
  <si>
    <t>Sora</t>
  </si>
  <si>
    <t>Kling</t>
  </si>
  <si>
    <t>Luma</t>
  </si>
  <si>
    <t>Google Veo</t>
  </si>
  <si>
    <t>LaMa</t>
  </si>
  <si>
    <t>O paradigma fixo de pré-treinamento (como no UniFD) limita a capacidade dos modelos pré-treinados de aprender características de falsificação fortes e pertinentes. Ainda há espaço para melhorias em modelos de difusão, como o Guided Diffusion. A distinção e associação entre imagens produzidas por modelos de difusão e GANs precisam ser mais elucidadas. A construção de uma tarefa pretexto melhor para detecção de imagens sintéticas no pré-treinamento é um estudo futuro.</t>
  </si>
  <si>
    <t>COCO</t>
  </si>
  <si>
    <t>ImageNet</t>
  </si>
  <si>
    <t>UCID</t>
  </si>
  <si>
    <t>CIFAKE</t>
  </si>
  <si>
    <t>ALASKA</t>
  </si>
  <si>
    <t>SPL2018</t>
  </si>
  <si>
    <t>DsTok</t>
  </si>
  <si>
    <t>ArtiFact</t>
  </si>
  <si>
    <t>GenImage</t>
  </si>
  <si>
    <t>ForenSynths</t>
  </si>
  <si>
    <t>LSUN</t>
  </si>
  <si>
    <t>CelebA</t>
  </si>
  <si>
    <t>FaceForensics++</t>
  </si>
  <si>
    <t>Places2</t>
  </si>
  <si>
    <t>AFHQ</t>
  </si>
  <si>
    <t>CIFAR-10</t>
  </si>
  <si>
    <t>FFHQ</t>
  </si>
  <si>
    <t>Latent Diffusion Models (LDMs)</t>
  </si>
  <si>
    <t>Self-Synthesis</t>
  </si>
  <si>
    <t>DiTFake</t>
  </si>
  <si>
    <t>DSGCG</t>
  </si>
  <si>
    <t>DSRah</t>
  </si>
  <si>
    <t>DSMan</t>
  </si>
  <si>
    <t>RAISE</t>
  </si>
  <si>
    <t>TwinSynths</t>
  </si>
  <si>
    <t>Generated Faces in the Wild</t>
  </si>
  <si>
    <t>Synthbuster</t>
  </si>
  <si>
    <t>OpenImages</t>
  </si>
  <si>
    <t>TWIGMA</t>
  </si>
  <si>
    <t>LAION</t>
  </si>
  <si>
    <t>Elsa</t>
  </si>
  <si>
    <t>DiffusionForensics</t>
  </si>
  <si>
    <t>DFDC</t>
  </si>
  <si>
    <t>CIFAKE (120.000 imagens reais e geradas por IA), CIFAR-10 (fonte de imagens reais para CIFAKE).</t>
  </si>
  <si>
    <t>N/A</t>
  </si>
  <si>
    <t xml:space="preserve"> DALL·E2, DreamStudio (datasets criados pelos autores), ALASKA, SPL2018, DsTok</t>
  </si>
  <si>
    <t>GenImage (ImageNet scene) e DiffusionForensics (DF) (LSUN-Bedroom scene)</t>
  </si>
  <si>
    <t>ForenSynths (para treinamento e teste, incluindo 17 modelos GAN como ProGAN, StyleGAN, StyleGAN2, BigGAN, CycleGAN, StarGAN, GauGAN, Deepfake, AttGAN, BEGAN, CramerGAN, InfoMaxGAN, MMDGAN, RelGAN, S3GAN, SNGAN, STGAN), DiFF (para avaliação de modelos de difusão, incluindo 13 métodos de difusão como Midjourney, Stable Diffusion XL, FreeDoM_T, HPS, LoRA, DreamBooth, SDXL Refiner, FreeDoM_I, DiffFace, DCFace, Imagic, CoDiff, CycleDiff), LSUN, ImageNet, CelebA, CelebA-HQ, COCO, FaceForensics++, CelebA-Dialog.</t>
  </si>
  <si>
    <t>LlamaGen</t>
  </si>
  <si>
    <t>Fully Convolutional Masked AutoEncoder</t>
  </si>
  <si>
    <t>Autoencoders de Diffusion Models</t>
  </si>
  <si>
    <t>Denoising Diffusion Probabilistic Models (DDPMs)</t>
  </si>
  <si>
    <t>Denoising Diffusion Implicit Models (DDIMs)</t>
  </si>
  <si>
    <t>Gerador de Artefatos Artificiais</t>
  </si>
  <si>
    <t>Dall·E</t>
  </si>
  <si>
    <t>VAE</t>
  </si>
  <si>
    <t>Ghigh</t>
  </si>
  <si>
    <t>Glow</t>
  </si>
  <si>
    <t>Gnon</t>
  </si>
  <si>
    <t>Visual Transformers (ViT, CvT, Swin Transformer), CNNs (Xception, MesoInception-4, EfficientNetB0, Capsule-Forensics-v2), GANs (StyleGAN2), Diffusion Models (mencionado para trabalhos futuros), Medidas de avaliação de viés individual (Acurácia Total, Acurácia GAN, Acurácia Real, FPR, FNR), Medidas de avaliação de viés pareado (Average Confidence Score - ACS, Demographic Parity - DP, Equal Opportunity - EO).</t>
  </si>
  <si>
    <t>Modelos de Difusão</t>
  </si>
  <si>
    <t>Modelos Baseados em GAN</t>
  </si>
  <si>
    <t>Modelos Baseados em Autoencoders</t>
  </si>
  <si>
    <t>Modelos Comerciais</t>
  </si>
  <si>
    <t>Acurácia (ACC) (%).</t>
  </si>
  <si>
    <t>Acurácia (ACC), Precisão Média (AP).</t>
  </si>
  <si>
    <t>Acurácia (Acc), Precisão Média (AP).</t>
  </si>
  <si>
    <t>Acurácia (ACC), Precisão Média (AP), ACCM (Acurácia Média), APM (Precisão Média Média).</t>
  </si>
  <si>
    <t>Precisão Média (AP), Acurácia (Acc).</t>
  </si>
  <si>
    <t>AUC (Área sob a Curva ROC), AP (Precisão Média), Acurácia (Acc).</t>
  </si>
  <si>
    <t>Acurácia (Acc), Precisão Média (AP), Revocação (Rec), F1-Score, AUC (Área sob a Curva ROC).</t>
  </si>
  <si>
    <t>AUC (Área sob a Curva ROC).</t>
  </si>
  <si>
    <t>Acurácia (Acc), Precisão Média (AP), AUC (Área sob a Curva ROC).</t>
  </si>
  <si>
    <t>Acurácia (ACC), Acurácia entre Detecções Cruzadas, Correlação Cruzada.</t>
  </si>
  <si>
    <t>Acurácia (ACC), FID (Distância de Inception de Fréchet), COSS (Similaridade Cosseno).</t>
  </si>
  <si>
    <t>Acurácia (ACC), Precisão Média (AP), ACCM (Acurácia Média), APM (Precisão Média).</t>
  </si>
  <si>
    <t>Taxa de Verdadeiros Positivos (TPR), Taxa de Verdadeiros Negativos (TNR), Acurácia (ACC).</t>
  </si>
  <si>
    <t>Taxa de Ataques Bem-sucedidos (SAR), Acurácia (ACC), Área sob a Curva ROC (AUC).</t>
  </si>
  <si>
    <t>Acurácia (ACC), Precisão Média (AP),Curva Precisão-Revocação , Curva ROC, AUC-ROC, Taxa de Verdadeiros Positivos (TPR), Taxa de Verdadeiros Negativos (TNR).</t>
  </si>
  <si>
    <t>Acurácia entre Detecções Cruzadas</t>
  </si>
  <si>
    <t>Precisão</t>
  </si>
  <si>
    <t>Curva Precisão-Revocação</t>
  </si>
  <si>
    <t>Pontuação F1</t>
  </si>
  <si>
    <t>Função de Perda</t>
  </si>
  <si>
    <t>Correlação Cruzada</t>
  </si>
  <si>
    <t>ACC</t>
  </si>
  <si>
    <t>Acurácia (ACC) Acurácia Balanceada (BA).</t>
  </si>
  <si>
    <t>ACCM</t>
  </si>
  <si>
    <t>BA</t>
  </si>
  <si>
    <t>AP</t>
  </si>
  <si>
    <t>TPR</t>
  </si>
  <si>
    <t>TNR</t>
  </si>
  <si>
    <t>FPR</t>
  </si>
  <si>
    <t>FNR</t>
  </si>
  <si>
    <t>Perda</t>
  </si>
  <si>
    <t>FID</t>
  </si>
  <si>
    <t>COSS</t>
  </si>
  <si>
    <t>AUC</t>
  </si>
  <si>
    <t>(P)</t>
  </si>
  <si>
    <t>ACS</t>
  </si>
  <si>
    <t>FPS</t>
  </si>
  <si>
    <t>SAR</t>
  </si>
  <si>
    <t>DP</t>
  </si>
  <si>
    <t>EO</t>
  </si>
  <si>
    <t>Cruzada</t>
  </si>
  <si>
    <t>Acurácia (ACC), Precisão(P), Revocação (rec), F1-score, AUC (Área sob a Curva ROC).</t>
  </si>
  <si>
    <t>Acurácia (ACC), Precisão(P), Revocação (rec), F1-Score.</t>
  </si>
  <si>
    <t>Acurácia (ACC), Revocação (rec), Precisão(P), AUC.</t>
  </si>
  <si>
    <t>Acurácia (ACC), Precisão(P), Revocação (rec), Função de Perda.</t>
  </si>
  <si>
    <t>(rec)</t>
  </si>
  <si>
    <t>F1</t>
  </si>
  <si>
    <t>Acurácia Total</t>
  </si>
  <si>
    <t>Acurácia GAN</t>
  </si>
  <si>
    <t>Acurácia Real</t>
  </si>
  <si>
    <t>Arquitetura Base</t>
  </si>
  <si>
    <t>Frequência</t>
  </si>
  <si>
    <t>Categoria</t>
  </si>
  <si>
    <t>Abreviação</t>
  </si>
  <si>
    <t>Soma de Frequência</t>
  </si>
  <si>
    <t>Total Geral</t>
  </si>
  <si>
    <t>Detector específico</t>
  </si>
  <si>
    <t>TextureCrop (método proposto), Sliding Window, Global Histogram Entropy (GHE), Local Entropy (LE), Standard Deviation (SD), Inverse Autocorrelation (AC-1), Texture Diversity (TD), Resizing (data augmentation), CenterCrop, TenCrop, GoogLeNet, ResNet, Inception, Xception, DenseNet, EfficientNet, MobileNet, ResNeXt, ConvNeXt, Vision Transformers, CLIP, GramNet, CNNDetect, GANID, DMID, UnivFD, RINE, PatchCraft, Redes Adversariais Generativas (GANs), Diffusion Models (DMs).</t>
  </si>
  <si>
    <t>Geradores</t>
  </si>
  <si>
    <t>Métrica</t>
  </si>
  <si>
    <t>Dataset</t>
  </si>
  <si>
    <t>Acurácia</t>
  </si>
  <si>
    <t>Precisão Média</t>
  </si>
  <si>
    <t>Área sob a Curva ROC</t>
  </si>
  <si>
    <t>Revocação</t>
  </si>
  <si>
    <t>Taxa de Verdadeiros Positivos</t>
  </si>
  <si>
    <t>Taxa de Verdadeiros Negativos</t>
  </si>
  <si>
    <t>Acurácia Balanceada</t>
  </si>
  <si>
    <t>Acurácia Média</t>
  </si>
  <si>
    <t>Velocidade de Detecção</t>
  </si>
  <si>
    <t>Taxa de Falsos Positivos</t>
  </si>
  <si>
    <t>Taxa de Falsos Negativos</t>
  </si>
  <si>
    <t>Taxa de Ataques Bem-sucedidos</t>
  </si>
  <si>
    <t>Similaridade Cosseno</t>
  </si>
  <si>
    <t>Pontuação Média de Confiança</t>
  </si>
  <si>
    <t>Paridade Demográfica</t>
  </si>
  <si>
    <t>Igualdade de Oportunidade</t>
  </si>
  <si>
    <t>Distância de Inception de Fréchet</t>
  </si>
  <si>
    <t>FFHQ (imagens naturais), StyleGAN2 (imagens GAN), FaceForensics++ (mencionado como dataset com viés), DFDC dataset (mencionado para análise de viés em deepfakes).</t>
  </si>
  <si>
    <t>Forensynths, Synthbuster, TWIGMA, RAISE, OpenImages, FFHQ, ImageNet, COCO, LSUN, StyleGAN2, StyleGAN3, GLIDE, Taming Transformers, Gated Convolution, BigGAN, DALL·E mini, Ablated Diffusion Model(ADM), Latent Diffusion, LaMa, ProGAN, ProjectedGAN, CycleGAN, DDPM, Diffusion-GAN, Stable Diffusion, Denoising Diffusion GAN, GauGAN, DALL·E 2, DALL·E 3, Firefly, Midjourney.</t>
  </si>
  <si>
    <t>FFHQ, ImageNet, COCO, LSUN (imagens reais); StyleGAN2, StyleGAN3, GLIDE, Taming Transformers, inpainting com Gated Convolution (modelos conhecidos); BigGAN, DALL·E mini, Ablated Diffusion Model(ADM), Latent Diffusion, LaMa (modelos desconhecidos/novos); ProGAN, ProjectedGAN, CycleGAN, DDPM, Diffusion-GAN, Stable Diffusion, Denoising Diffusion GAN, GauGAN (utilizados por equipes).</t>
  </si>
  <si>
    <t>Stable Diffusion (SD 1.4, SD 2.1), MidJourney (MJ), DALL·E-Mini, GLIDE, DALL·E-2, CelebA-HQ, Places2, Laion-5B, AFHQ (para ProGANs), LSUN.</t>
  </si>
  <si>
    <t>StyleGAN, StyleGANII, PGGAN, WGAN, BEGAN, LSGAN (para imagens geradas por GANs), CelebA-HQ (para imagens reais).</t>
  </si>
  <si>
    <t>PGGAN, StyleGAN2, CelebA HQ, CelebA, StyleGAN, CycleGAN, BigGAN, GauGAN, StarGAN.</t>
  </si>
  <si>
    <t>DiffusionForensics (incluindo LSUN-Bedroom e ImageNet), ADM, DDPM, iDDPM, PNDM, LDM, SD-v1, SD-v2, VQDM, StyleGAN.</t>
  </si>
  <si>
    <t>CELEBA, LSUN-bedroom, FFHQ.</t>
  </si>
  <si>
    <t>COCO, Latent Diffusion Models (LDMs).</t>
  </si>
  <si>
    <t>ForenSynths (para treinamento, com subconjunto de 4.000 imagens do ProGAN e imagens reais do LSUN), ForenSynths (para teste, incluindo ProGAN, CycleGAN, BigGAN, StyleGAN, StyleGAN2, GauGAN, StarGAN), UniversalFakeDetect (para teste, incluindo Guided, LDM, Glide, DALL·E), GenImage (para teste, incluindo Midjourney, Stable Diffusion, ADM, Glide, Wukong, VQDM).</t>
  </si>
  <si>
    <t>ProGAN (para treinamento, 2-classes e 4-classes), datasets de teste de GANs (ProGAN, StyleGAN, StyleGAN2, BigGAN, CycleGAN, StarGAN, GauGAN, DeepFake), datasets de teste de modelos de difusão (PNDM, Guided Diffusion, DALL·E, VQDM, LDM, Glide).</t>
  </si>
  <si>
    <t>ForenSynths (para treinamento e teste, incluindo ProGAN, StyleGAN, StyleGAN2, BigGAN, CycleGAN, GauGAN, StarGAN), LSUN (imagens reais).</t>
  </si>
  <si>
    <t>Dataset de Wang et al. [1] (inclui imagens geradas por ProGAN, StyleGAN, StyleGAN2, BigGAN, CycleGAN, StarGAN), LSUN, FFHQ, CelebA.</t>
  </si>
  <si>
    <t>ForenSynths (incluindo LSUN, ImageNet, CelebA, CelebA-HQ, COCO, FaceForensics++), Self-Synthesis, Ojha (LAION), GenImage (ImageNet), DiTFake (COCO).</t>
  </si>
  <si>
    <t>FFHQ, AFHQ, LSUN (LSUN-churches, LSUN-bedrooms), ImageNet.</t>
  </si>
  <si>
    <t>GenImage (2.681.167 imagens, incluindo BigGAN, GLIDE, VQDM, Stable Diffusion V1.4 &amp; V1.5, ADM, Midjourney, Wukong, ImageNet).</t>
  </si>
  <si>
    <t>DSGCG (novo dataset construído pelos autores, 42000 CG e 42000 PG imagens, incluindo TCG, GANs (StyleGAN2, ProGAN, BigGAN) e DMs (Stable Diffusion, DALL·E Mini, Latent Diffusion)), DSRah (1800 CG, 1800 PG), DSTok (4850 CG, 4850 PG), DSMan (4000 TCG, 4000 GAN, 4000 PG).</t>
  </si>
  <si>
    <t>GenImage (incluindo imagens de ADM, Glide, Midjourney, VQDM, Wukong, BigGAN, Stable Diffusion V1.4 e V1.5, ImageNet).</t>
  </si>
  <si>
    <t>ProGAN training dataset (ProGAN, LSUN), LDM training dataset (LDM, LSUN, COCO), test datasets (GAN-generated: ProGAN, BigGAN, CycleGAN, GauGAN, StarGAN, StarGAN2, StyleGAN, StyleGAN2, StyleGAN3, EG3D; Diffusion-generated: LDM, Stable Diffusion-V1, SD-V2, SD-V1 RV 2.0, Lexica, ADM, GLIDE, IF; Transformer-generated: DALL·E Mini, DALL·E 2, Taming Transformers, DALL·E; Midjourney; Real-image: CC3M, COCO, ImageNet).</t>
  </si>
  <si>
    <t>ProGAN, StyleGAN2, StyleGAN3, StyleGAN-T, GigaGAN (GAN-based); Score-SDE, ADM, GLIDE, eDiff-I, Latent Diffusion, Stable Diffusion, DiT, DeepFloyd-IF, Stable Diffusion XL (DM-based); DALL·E 2, DALL·E 3, Midjourney v5, Adobe Firefly (ferramentas comerciais); LSUN, COCO, RAISE (imagens reais).</t>
  </si>
  <si>
    <t>DiffusionForensics (contém imagens de SDv1.5, SDv2.1, Midjourney, ADM, VQDM), StyleGAN2 (imagens contribuídas por CNNSpot).</t>
  </si>
  <si>
    <t>ForenSynths (treino), TwinSynths (GAN-based e DM-based), ImageNet, LSUN, DALL·E, Glide, ADM, LDM, Deepfake (FaceForensics++), StyleGAN, BigGAN, CycleGAN, StarGAN, GauGAN, Generated Faces in the Wild.</t>
  </si>
  <si>
    <t>Datasets de [38] (ProGAN, StyleGAN, StyleGAN2, BigGAN, CycleGAN, StarGAN, GauGAN, CRN, IMLE, SAN, SITD, DeepFakes), datasets de [25] (Latent Diffusion, Glide, Dall·E, LAION), Synthbuster (DALL·E2, DALL·E3, Adobe Firefly, Midjourney v5, Stable Diffusion 1.3, Stable Diffusion 1.4, Stable Diffusion 2, Stable Diffusion XL, raise-1k).</t>
  </si>
  <si>
    <t>Número</t>
  </si>
  <si>
    <t>Média de 94.0% de acurácia e 98.1% de precisão média em 17 modelos GAN, superando o método NPR (92.9%/96.4%). - Mais de 90% de acurácia na detecção de imagens criadas por 13 modelos de difusão diferentes. - ForenSynths: 94.2% Acc, 98.7% AP. - Self-Synthesis: 93.8% Acc, 97.5% AP. - Desempenho em modelos GAN específicos: ProGAN (99.9%/100.0%), StyleGAN (97.3%/99.9%), StyleGAN2 (95.5%/99.9%), BigGAN (92.7%/97.9%), RelGAN (100%/100%). - Desempenho em modelos de difusão específicos (treinado em DiFF I2I): Midjourney (99.9%/100.0%), SDXL (99.9%/100.0%), FreeDoM_T (99.8%/100.0%), HPS (99.2%/100.0%), SDXL Refiner (100.0%/100.0%), LoRA (99.9%/100.0%), DreamBooth (98.9%/100.0%), FreeDoM_I (99.8%/100.0%), DiffFace (96.8%/100.0%), DCFace (91.6%/99.7%), Imagic (99.8%/100.0%), CoDiff (99.7%/100.0%), CycleDiff (97.3%/99.8%). - FLOPs: 0.72B (significativamente menor que outros métodos). - Análise de Robustez Estatística: 93.6% (±0.5%) Acc e 98.1% (±0.4%) AP em diferentes seeds aleatórias.</t>
  </si>
  <si>
    <t>O modelo proposto alcançou a maior acurácia de classificação em todos os datasets de teste, confirmando sua eficácia na detecção de faces geradas por GAN. - O modelo combinado espacial-frequência alcançou mais de 99% de acurácia na detecção de StyleGAN. - O modelo alcançou 99.68% de acurácia na detecção de imagens com corte, mas teve desempenho reduzido sob outras perturbações (compressão, desfoque, ruído).</t>
  </si>
  <si>
    <t>Acurácia de 99.4% no dataset PGGAN (melhor que outros métodos). - Acurácia de 99.8% no dataset StyleGAN2 (melhor que outros métodos). - Desempenho estável e alto (acima de 96%) em StyleGAN, BigGAN, CycleGAN, StarGAN, GauGAN. - Melhor desempenho em compressão e redimensionamento.</t>
  </si>
  <si>
    <t>O método proposto reduz drasticamente as taxas de detecção (ex: 86.58% no DCTA, 90.68% no COM para CELEBA) e supera outros métodos de evasão. - Apresenta o menor FID (melhor qualidade de imagem) entre os métodos de evasão. - A acurácia do UFD no método proposto é de 57.10%, próxima a um palpite aleatório, significativamente inferior a outros métodos de ataque (acima de 75%).</t>
  </si>
  <si>
    <t>Supera os métodos SOTA em aproximadamente 5% em diferentes configurações experimentais (cross-category, cross-GAN, color manipulation). - No teste cross-category (treinado em 'horse', testado em 'all-categories'), o modelo alcança 80% de ACC e 79.02% de AP, superando significativamente os métodos SOTA. - No teste cross-model (treinado apenas em ProGAN, testado em outros GANs), o modelo proposto alcança uma média de 80.83% de ACC e 75.15% de AP (para 1 classe), 84.67% de ACC e 79.62% de AP (para 2 classes), e 84.33% de ACC e 81.83% de AP (para 4 classes), superando a maioria dos SOTA. - Robusto a manipulações de cor, com ACC média de 97.4% e AP média de 96.16% em diferentes transformações de cor.</t>
  </si>
  <si>
    <t>DSGCG: ACC de 96.28%, TPR de 95.84%, TNR de 96.72% (superando outros métodos em 4.80% a 33.71% na ACC). - DSRah: ACC de 97.50%, TPR de 97.25%, TNR de 97.75%. - DSTok: ACC de 97.33%, TPR de 96.86%, TNR de 97.80%. - DSMan: ACC de 95.87%, TPR de 95.04%, TNR de 96.70%. - Robustez a pós-processamento: Mantém alta acurácia (ex: 71.34% para JPEG QF=50, 92.37% com ruído gaussiano). - Generalização entre datasets: ACC de 89.63% (DSGCG/DSTok), 86.82% (DSGCG/DSMan). - Detecção entre modalidades (cross-modal): Melhor desempenho em detecção de imagens geradas por GAN e DM, mesmo quando treinado em TCG.</t>
  </si>
  <si>
    <t xml:space="preserve">Desempenho ligeiramente inferior em CycleGAN e Deepfake em comparação com alguns métodos baseados em frequência. - Limitações com imagens contendo grandes regiões de céu, devido a inconsistências teóricas do prior de canal escuro nesses cenários. - Modelos treinados em condições de geração específicas (e.g., Face Swap) podem ter dificuldade em generalizar para outros tipos de imagens geradas. </t>
  </si>
  <si>
    <t>O modelo tem resiliência limitada a ruído, compressão e desfoque, o que afeta a clareza dos artefatos de domínio de frequência. - Necessidade de otimização futura para minimizar os efeitos de ruído, compressão e desfoque.</t>
  </si>
  <si>
    <t>Desempenho ligeiramente inferior em filtragem de mediana. - O vetor de características final tem uma dimensão mais longa devido à extração de características em blocos de imagem.</t>
  </si>
  <si>
    <t>A dificuldade de distinguir CG de PG devido à alta qualidade de síntese dos métodos de geração recentes. - A maioria dos algoritmos aplica uma abordagem direta baseada em dados para detecção, sem módulos para focar em traços discriminativos. - Falta de datasets grandes e diversos contendo diferentes tipos de imagens CG heterogêneas para avaliação de métodos de detecção. - Mudanças na iluminação podem afetar o desempenho da abordagem, levando a classificações erradas.</t>
  </si>
  <si>
    <t>Melhorar a capacidade de generalização para identificar amostras desconhecidas e emergentes; Equilibrar precisão, versatilidade e eficiência computacional; Lidar com o desequilíbrio de dados gerados por algoritmos mais antigos vs. mais novos; Simular condições do mundo real onde as imagens sofrem transformações (redimensionamento, captura de imagem).</t>
  </si>
  <si>
    <t>Aumento da qualidade e realismo das imagens geradas por GANs, tornando-as mais enganosas. - Ameaças à privacidade pessoal, ordem social e segurança nacional devido ao uso indevido de GANs. - Generalização de algoritmos de detecção para modelos GAN desconhecidos ou imagens com operações de edição. - Combinação eficaz de características de domínio espacial e de frequência.</t>
  </si>
  <si>
    <t>Dificuldade para humanos distinguirem imagens geradas por GANs. - Riscos sociais, morais, legais e de segurança devido ao uso indevido de imagens geradas por GANs (notícias falsas, fraude). - Generalização e robustez dos métodos de detecção. - Interpretabilidade dos modelos de Deep Learning.</t>
  </si>
  <si>
    <t>A capacidade das GANs de gerar imagens realistas que são difíceis de distinguir por humanos, levantando questões de segurança (notícias falsas, evidências criminais forjadas). - A dependência de métodos de detecção existentes em técnicas específicas, tornando-os vulneráveis a outros tipos de detecção. - A necessidade de desenvolver métodos de evasão que sejam generalizáveis para diferentes detectores e adaptáveis a informações prévias sobre eles.</t>
  </si>
  <si>
    <t>A detecção de imagens geradas por GANs é um problema crucial e desafiador devido ao avanço de diversos modelos generativos. - Métodos existentes frequentemente se sobreajustam a GANs específicos, falhando em generalizar para outros GANs. - Cada GAN deixa uma 'impressão digital' distinta nas imagens que gera. - A necessidade de um modelo generalizável e robusto para detecção de imagens geradas por GANs.</t>
  </si>
  <si>
    <t>Verificar a autenticidade e originalidade de imagens digitais. - Combater a desinformação e a disseminação de informações falsas através de imagens CG. - Desenvolver métodos mais eficazes para aprimorar e representar traços discriminativos em imagens CG. - Melhorar a generalização e robustez dos modelos de detecção contra operações de pós-processamento (compressão, ruído, filtragem). - Abordar a detecção de imagens geradas por modelos de difusão, que são mais realistas.</t>
  </si>
  <si>
    <t>Aprendizado de textura profunda multi-escala. - Módulos de aprimoramento de textura guiados por segmentação semântica. - Mecanismos de atenção para refinar características intermediárias e explorar traços. - Fusão de características via LTR (Low-rank Tensor Representation) para capturar informações complementares e interações. - Desenvolvimento de datasets mais diversos e realistas (como o DSGCG). - Exploração de algoritmos de aprendizado mais avançados ou características de padrão discriminativas para melhorar o desempenho da detecção e alcançar uma classificação mais granular de imagens CG.</t>
  </si>
  <si>
    <t>Utilização de PRNU e BiHPF para extrair padrões de ruído residual e componentes de alta frequência, transformando imagens RGB em representações de dois canais. - Rede neural compacta baseada em mecanismo de atenção para focar em características discriminativas. - A capacidade de integrar os canais de características propostos em qualquer rede neural existente, aumentando o dataset no pré-processamento. - O classificador proposto é uma rede pequena e pode ser adicionado a qualquer método extrator de características (ex: FFT, DFT). - O modelo proposto é adaptável a qualquer GAN existente e pode ser aprimorado para imagens de baixa qualidade e várias resoluções.</t>
  </si>
  <si>
    <t>Disentanglement de características (relacionadas e não relacionadas à falsificação) para evasão de detecção. - Geração de imagens camufladas que mantêm a qualidade visual e evadem a detecção. - Adaptação do conhecimento prévio sobre detectores para melhorar a capacidade de evasão. - Futuras pesquisas podem explorar o uso de características disentangled para desenvolver métodos eficazes de identificação de imagens geradas por GANs e aplicações em segurança biométrica (detecção de vivacidade facial).</t>
  </si>
  <si>
    <t>Otimização de estratégias de extração de características de canal escuro. - Desenvolvimento de mecanismos de ponderação adaptativos para melhorar o desempenho em cenários dominados pelo céu. - Exploração de aplicações na detecção de falsificações de vídeo. - Integração de informações de canal escuro com características RGB para detecção de imagens geradas.</t>
  </si>
  <si>
    <t>Aprimorar a robustez do modelo contra perturbações comuns de imagem. - Explorar técnicas para melhorar a adaptabilidade do modelo a diversas manipulações e variações de imagem. - Contribuir para a perícia multimídia e o combate à proliferação de deepfakes.</t>
  </si>
  <si>
    <t>Explorar a informação de cor e gradiente como pistas para detecção de imagens GAN. - Utilizar histogramas Multi-GLDN para quantificar informações de textura de gradiente. - Desenvolver métodos mais gerais para detectar imagens falsas geradas por diferentes GANs.</t>
  </si>
  <si>
    <t>Combater a desinformação e fraude de identidade facilitadas por imagens geradas por IA. - Fornecer suporte técnico confiável para autenticação judicial, onde a interpretabilidade é crucial para a credibilidade das evidências. - Aumentar a confiança pública na autenticidade de imagens digitais.</t>
  </si>
  <si>
    <t>Aumento da criação de conteúdo enganoso (Deepfakes, adulteração de imagens, ocultação de informações). - Violação da privacidade pessoal e perturbação da estabilidade social. - Necessidade de salvaguardar a autenticidade e integridade das imagens digitais.</t>
  </si>
  <si>
    <t>Potencial ameaça à sociedade devido à capacidade de GANs gerarem falsificações para enganar humanos. - Necessidade de estabelecer um forte mecanismo de defesa para evitar os riscos da inteligência artificial.</t>
  </si>
  <si>
    <t>O uso de imagens realistas geradas por GANs pode levantar questões de segurança, como a criação de notícias falsas ou evidências criminais forjadas. - A necessidade de verificar a autenticidade das imagens para combater o uso indevido da tecnologia GAN.</t>
  </si>
  <si>
    <t>A facilidade de sintetizar imagens CG convincentes levanta preocupações sobre a autenticidade da mídia digital. - Imagens CG falsas podem levar à desinformação e representar uma séria ameaça ao ecossistema da informação. - A ausência de controle e verificação de fatos nas postagens torna as mídias sociais um terreno fértil para a disseminação de informações não verificadas e/ou falsas. - A detecção de imagens geradas por computador é importante para verificação de mídias sociais e notícias, análise forense e ética no jornalismo e na mídia.</t>
  </si>
  <si>
    <t>Diferentes tipos de entrada (visuais e textuais) e arquiteturas avançadas, como ResNet50 e Vision Transformers com CLIP, para detectar imagens sintéticas. Métodos baseados em “fingerprints” no domínio da frequência, textura e gradientes se mostram eficazes, especialmente em modelos como RINE, UnivFD e DeFake. O framework SIDBench também é apresentado para avaliação sistemática em múltiplos datasets.</t>
  </si>
  <si>
    <t>Risco de desinformação causado por imagens sintéticas realistas e a necessidade de manter a confiança pública em conteúdos visuais. Destaca também a importância de métodos de detecção robustos, justos e transparentes, como o framework SIDBench, para enfrentar esses desafios.</t>
  </si>
  <si>
    <t>Os autores propõem o TextureCrop, um método de pré-processamento voltado para melhorar a detecção de imagens sintéticas ao focar em regiões de alta frequência espacial, onde artefatos gerados por IA tendem a se concentrar. O estudo parte da observação de que métodos de detecção existentes geralmente redimensionam ou cortam imagens em regiões centrais para atender às exigências arquiteturais de seus modelos, o que pode eliminar traços relevantes deixados pelo processo de geração. TextureCrop utiliza métricas estatísticas como entropia global, entropia local, desvio padrão e autocorrelação inversa para selecionar automaticamente os patches mais ricos em textura de uma imagem. Ao aplicar este mecanismo sobre imagens de alta resolução oriundas de diversos geradores, os autores demonstram ganhos significativos no desempenho de detectores já treinados, com melhorias de até 18,2% na média de precisão (AP) e 14,9% na AUC em comparação com técnicas convencionais como center crop ou resizing. Além disso, o método reduz consideravelmente o uso de memória e o tempo de inferência, tornando-se viável para uso em ambientes computacionalmente restritos. A conclusão do estudo destaca que TextureCrop representa uma solução eficiente e eficaz para lidar com a crescente complexidade das imagens geradas por IA, especialmente em contextos de alta resolução, e pode ser integrado facilmente a qualquer pipeline de detecção existente.</t>
  </si>
  <si>
    <t>Acurácia (ACC), Acurácia Total, Acurácia GAN, Acurácia Real, FPR (Taxa de Falsos Positivos), FNR (Taxa de Falsos Negativos), Pontuação Média de Confiança (ACS), Paridade Demográfica (DP), Igualdade de Oportunidade (EO) .</t>
  </si>
  <si>
    <t>Acurácia (ACC), Acurácia Balanceada (BA), AUC (Área sob a Curva ROC).</t>
  </si>
  <si>
    <t xml:space="preserve"> GANs (Generative Adversarial Networks), Diffusion Models (DMs), CNN (Convolutional Neural Networks), Transformer, Discrete Wavelet Transform (DWT), ColorJitter, RandomRotation, RandomMask (estratégia de mascaramento aleatório baseada em patches), ResNet, FFT (Fast Fourier Transform), DCT (Discrete Cosine Transform), High-Pass Filters (Sobel, Laplace)</t>
  </si>
  <si>
    <t>GoogLeNet, ResNet, Inception, Xception, DenseNet, EfficientNet, MobileNet, ResNeXt, ConvNeXt, Vision Transformers, redes neurais convolucionais (CNNs), atenção (attention mechanisms), ensemble de modelos, aumento de dados (data augmentation) com desfoque Gaussiano e JPEG compression, CutMix, random cutout, análise no domínio da frequência, diferentes espaços de cores (HSV, YCbCr).</t>
  </si>
  <si>
    <t>sim</t>
  </si>
  <si>
    <t>SemGIR: Semantic-Guided Image Regeneration Based Method for AI-generated Image Detection and Attribution</t>
  </si>
  <si>
    <t>Improving Synthetic Image Detection Towards Generalization: An Image Transformation Perspective</t>
  </si>
  <si>
    <t>Addressing Diffusion Model Based Counter-Forensic Image Manipulation for Synthetic Image Detection</t>
  </si>
  <si>
    <t>A Solution to ACMMM 2024 on Artificial Intelligence Generated Image Detection</t>
  </si>
  <si>
    <t>SIDBench: A Python framework for reliably assessing synthetic image detection methods</t>
  </si>
  <si>
    <t>Framework for Automated Synthetic Image Generation for Vehicle Detection</t>
  </si>
  <si>
    <t>ACM Multimedia 2024 Grand Challenge Report for Artificial Intelligence Generated Image Detection</t>
  </si>
  <si>
    <t>Optimizing the Baseline Approach for the 2024 ACM Multimedia Grand Challenge in Artificial Intelligence Generated Image Detection</t>
  </si>
  <si>
    <t>ACM</t>
  </si>
  <si>
    <t>On Domain Randomization for Object Detection in real industrial scenarios using Synthetic Images</t>
  </si>
  <si>
    <t>Improving gastric lesion detection with synthetic images from diffusion models</t>
  </si>
  <si>
    <t>Generative Adversarial Network based method for generation of synthetic image parameters for TACTIC γ-ray telescope</t>
  </si>
  <si>
    <t>Post-earthquake structural damage detection with tunable semi-synthetic image generation</t>
  </si>
  <si>
    <t>Bottlenose dolphin identification using synthetic image-based transfer learning</t>
  </si>
  <si>
    <t>PP02.13 GENERATION OF SYNTHETIC IMAGES FOR MAMMOGRAPHY VIA NEURAL NETWORKS BASED METHODS</t>
  </si>
  <si>
    <t>Artifact feature purification for cross-domain detection of AI-generated images</t>
  </si>
  <si>
    <t>Deep Learning applied to Road Accident Detection with Transfer Learning and Synthetic Images</t>
  </si>
  <si>
    <t>Methods for segmenting cracks in 3d images of concrete: A comparison based on semi-synthetic images</t>
  </si>
  <si>
    <t>Semantic segmentation based on Deep learning for the detection of Cyanobacterial Harmful Algal Blooms (CyanoHABs) using synthetic images</t>
  </si>
  <si>
    <t>A framework for synthetic image generation and augmentation for improving automatic sewer pipe defect detection</t>
  </si>
  <si>
    <t>Fighting against forest fire: A lightweight real-time detection approach for forest fire based on synthetic images</t>
  </si>
  <si>
    <t>SSDM: Generated image interaction method based on spatial sparsity for diffusion models</t>
  </si>
  <si>
    <t>Deep learning model to detect deceptive generative adversarial network generated images using multimedia forensic</t>
  </si>
  <si>
    <t>Evasion on general GAN-generated image detection by disentangled representation</t>
  </si>
  <si>
    <t>Detection of GAN generated image using color gradient representation</t>
  </si>
  <si>
    <t>Effect of user-generated image on review helpfulness: Perspectives from object detection</t>
  </si>
  <si>
    <t>DC-BiNet: Towards interpretable generated image detection with dark channel prior</t>
  </si>
  <si>
    <t>Generalized and robust model for GAN-generated image detection</t>
  </si>
  <si>
    <t>Identification of Travel Styles by Learning from Consumer-generated Images in Online Travel Communities</t>
  </si>
  <si>
    <t>Self-supervised scheme for generalizing GAN image detection</t>
  </si>
  <si>
    <t>MDTL-NET: Computer-generated image detection based on multi-scale deep texture learning</t>
  </si>
  <si>
    <t>Science</t>
  </si>
  <si>
    <t>IEEE</t>
  </si>
  <si>
    <t>não</t>
  </si>
  <si>
    <t>Duplicado</t>
  </si>
  <si>
    <t>Disponível</t>
  </si>
  <si>
    <t>Triagem</t>
  </si>
  <si>
    <t xml:space="preserve">Advancing AI-Generated Image Detection: Enhanced Accuracy through CNN and Vision Transformer Models with Explainable AI Insights </t>
  </si>
  <si>
    <t xml:space="preserve">AI-Generated Image Detection using a Cross-Attention Enhanced Dual-Stream Network </t>
  </si>
  <si>
    <t xml:space="preserve">Artifact: A Large-Scale Dataset With Artificial And Factual Images For Generalizable And Robust Synthetic Image Detection </t>
  </si>
  <si>
    <t xml:space="preserve">Deep Image Fingerprint: Towards Low Budget Synthetic Image Detection and Model Lineage Analysis </t>
  </si>
  <si>
    <t xml:space="preserve">DIRE for Diffusion-Generated Image Detection </t>
  </si>
  <si>
    <t xml:space="preserve">Enhancing AI-Generated Image Detection with a Novel Approach and Comparative Analysis </t>
  </si>
  <si>
    <t xml:space="preserve">Exploring the Adversarial Robustness of CLIP for AI-generated Image Detection </t>
  </si>
  <si>
    <t xml:space="preserve">FAMSeC: A Few-Shot-Sample-Based General AI-Generated Image Detection Method </t>
  </si>
  <si>
    <t xml:space="preserve">Forgery-aware Adaptive Transformer for Generalizable Synthetic Image Detection </t>
  </si>
  <si>
    <t xml:space="preserve">General GAN-generated Image Detection by Data Augmentation in Fingerprint Domain </t>
  </si>
  <si>
    <t xml:space="preserve">LaRE2: Latent Reconstruction Error Based Method for Diffusion-Generated Image Detection </t>
  </si>
  <si>
    <t xml:space="preserve">Noise-Informed Diffusion-Generated Image Detection With Anomaly Attention </t>
  </si>
  <si>
    <t xml:space="preserve">Performance Comparison and Visualization of AI-Generated-Image Detection Methods </t>
  </si>
  <si>
    <t xml:space="preserve">Raising the Bar of AI-generated Image Detection with CLIP </t>
  </si>
  <si>
    <t xml:space="preserve">Synthetic Image Detection: Highlights from the IEEE Video and Image Processing Cup 2022 Student Competition [SP Competitions] </t>
  </si>
  <si>
    <t xml:space="preserve">TextureCrop: Enhancing Synthetic Image Detection Through Texture-Based Cropping </t>
  </si>
  <si>
    <t xml:space="preserve">Toward Exploring Fairness in Visual Transformer Based Natural and GAN Image Detection Systems </t>
  </si>
  <si>
    <t>Base</t>
  </si>
  <si>
    <t>Artigo</t>
  </si>
  <si>
    <t>Incluído</t>
  </si>
  <si>
    <t xml:space="preserve">A Study on NeRF-based Synthetic Image Generation and Post-processing Method for Object Detection </t>
  </si>
  <si>
    <t xml:space="preserve">AI-Generated Image Detection Using Semantic Feature </t>
  </si>
  <si>
    <t xml:space="preserve">AI-Generated Image Detection With Wasserstein Distance Compression and Dynamic Aggregation </t>
  </si>
  <si>
    <t xml:space="preserve">Analysis of Impact of Synthetic Image Data with Multiple Randomization Strategies on Object Detection Performance </t>
  </si>
  <si>
    <t xml:space="preserve">Computer-Generated Image Detection Based on Multi-Scale Feature Fusion Attention Module </t>
  </si>
  <si>
    <t xml:space="preserve">Deep Learning Based Synthetic Image Generation for Defect Detection in Additive Manufacturing Industrial Environments </t>
  </si>
  <si>
    <t xml:space="preserve">Detection of AI-Generated Image Content in News and Journalism </t>
  </si>
  <si>
    <t xml:space="preserve">Enhanced CNN Architecture with Residual Blocks and Regularization for AI-Generated Image Detection </t>
  </si>
  <si>
    <t xml:space="preserve">Enhancing Interpretability in AI-Generated Image Detection with Genetic Programming </t>
  </si>
  <si>
    <t xml:space="preserve">Enhancing Naval Mine Detection through Augmented Side Scan Sonar Data and Synthetic Image Generation for Manned and Unmanned Teaming Systems </t>
  </si>
  <si>
    <t xml:space="preserve">Enhancing the Generalization of Synthetic Image Detection Models through the Exploration of Features in Deep Detection Models </t>
  </si>
  <si>
    <t xml:space="preserve">Improving GAN-Generated Image Detection Generalization Using Unsupervised Domain Adaptation </t>
  </si>
  <si>
    <t xml:space="preserve">Leveraging HPC with GAN-CNN Integration for Enhanced Tuberculosis Detection using Synthetic Image Generation </t>
  </si>
  <si>
    <t xml:space="preserve">Leveraging Image Gradients for Robust GAN-Generated Image Detection in OSN context </t>
  </si>
  <si>
    <t xml:space="preserve">Performance Comparison of Deep Learning Models for Computer Generated Image Detection </t>
  </si>
  <si>
    <t xml:space="preserve">Photo Response Non-Uniformity Based AI-Generated Image Detection </t>
  </si>
  <si>
    <t xml:space="preserve">Reducing the Content Bias for AI-generated Image Detection </t>
  </si>
  <si>
    <t xml:space="preserve">Synthetic Image Generation for Improved Detection of Bone Defects Using GAN </t>
  </si>
  <si>
    <t xml:space="preserve">Training Deep Learning Spacecraft Component Detection Algorithms Using Synthetic Image Data </t>
  </si>
  <si>
    <t xml:space="preserve">Unsupervised Generated Image Editing Method Based on Multi-Scale Hierarchical Disentanglement </t>
  </si>
  <si>
    <t xml:space="preserve">Visual Veracity: Advancing AI-Generated Image Detection with Convolutional Neural Networks </t>
  </si>
  <si>
    <t xml:space="preserve">A Method to Establish a Synthetic Image Dataset of Stored-Product Insects for Insect Detection </t>
  </si>
  <si>
    <t xml:space="preserve">Advancing Glaucoma Detection: Synthetic Image Generation via Generative Adversarial Networks and Classification with Pretrained MobileNetV2 </t>
  </si>
  <si>
    <t xml:space="preserve">Context-Driven Automatic Target Detection With Cross-Modality Real-Synthetic Image Merging </t>
  </si>
  <si>
    <t xml:space="preserve">DAM-GAN : Image Inpainting Using Dynamic Attention Map Based on Fake Texture Detection </t>
  </si>
  <si>
    <t>Investigar como melhorar a capacidade de generalização na detecção de imagens geradas por GANs em cenários de detecção de imagens falsas, utilizando adaptação de domínio não supervisionada com um pequeno número de imagens não rotuladas do domínio alvo, visando resolver o problema de detectores supervisionados que falham em identificar imagens de GANs desconhecidos, reforçando a robustez e aplicabilidade em cenários forenses reais.</t>
  </si>
  <si>
    <t>CELEBA</t>
  </si>
  <si>
    <t>O método proposto alcançou melhorias significativas na acurácia de detecção de imagens GAN em domínios não vistos, reduzindo as taxas de falsos negativos e falsos positivos ao aplicar adaptação de domínio não supervisionada com um número reduzido de imagens não rotuladas do domínio alvo. Foi demonstrado que o alinhamento das distribuições no espaço de características permitiu que imagens falsas previamente não detectáveis se tornassem detectáveis, confirmando que o método melhora a generalização dos detectores sem necessidade de grande volume de dados rotulados.</t>
  </si>
  <si>
    <t>A adaptação de domínio não supervisionada depende da semelhança estatística entre domínios para ser eficaz, e pode não capturar todas as diferenças entre tipos diversos de GANs. Reconhece-se também que o método pode ter limitações quando aplicado a imagens muito fora do domínio ou com pre-processamentos pesados, e que há dependência de tuning de hiperparâmetros para cada cenário.</t>
  </si>
  <si>
    <t>Baixa generalização de detectores supervisionados frente a GANs desconhecidos, escassez de dados rotulados em cenários práticos, necessidade de alinhamento de distribuições entre domínios fonte e alvo, detecção de artefatos específicos de GANs que variam entre arquiteturas, necessidade de robustez em cenários de forense digital.</t>
  </si>
  <si>
    <t>Adaptação de domínio não supervisionada, DSAN, uso de Self-Attention para foco em artefatos de upsampling, AutoGAN para simulação de artefatos artificiais, métodos de loss combinados (BCE + Center Loss), uso de poucas imagens não rotuladas do alvo, técnicas de análise de espaço de características para alinhamento de domínios, uso combinado de dados de múltiplos GANs para treinar detectores robustos.</t>
  </si>
  <si>
    <t>A proliferação de imagens falsas geradas por GAN ameaça a integridade digital, permitindo o uso em fake news, fraudes e desinformação, além de prejudicar investigações forenses. O desenvolvimento de detectores robustos que funcionem sem necessidade de datasets extensivos e rotulados contribui para a preservação da integridade digital e combate ao uso malicioso de GANs em ambientes de mídia e segurança.</t>
  </si>
  <si>
    <t>O estudo demonstra que a utilização de adaptação de domínio não supervisionada combinada com técnicas de foco em artefatos de GAN (Self-Attention) e funções de perda otimizadas permite detecção eficaz de imagens falsas geradas por GANs em domínios desconhecidos utilizando apenas poucas imagens não rotuladas do alvo, representando um avanço importante para sistemas forenses robustos em cenários reais, mitigando limitações dos detectores supervisionados tradicionais e fortalecendo a capacidade de rastrear e detectar conteúdo falso gerado por GANs de arquiteturas diversas.</t>
  </si>
  <si>
    <t>PGGAN</t>
  </si>
  <si>
    <t>StarGAN</t>
  </si>
  <si>
    <t>DSAN</t>
  </si>
  <si>
    <t>Acurácia (ACC)</t>
  </si>
  <si>
    <t>Deep Subdomain Adaptation Network (DSAN), Local Maximum Mean Discrepancy (LMMD), Self-Attention Block, Center Loss, Binary Cross-Entropy Loss, Convolutional Neural Networks (CNNs), Transfer Learning, Upsampling Artifact Detection, AutoGAN, Stargan, StyleGAN2, PGGAN,Loss,LLMMD, Data Augmentation</t>
  </si>
  <si>
    <t>Este estudo investiga como utilizar derivadas de gradiente de imagem como características para melhorar a detecção de imagens sintéticas geradas por GANs, focando em alcançar robustez contra compressões e pré-processamentos típicos de redes sociais (OSNs) como WhatsApp, Facebook e Instagram. O objetivo central é desenvolver detectores que mantenham alta acurácia mesmo após transformações de compressão e pós-processamento, comuns em plataformas de mídia social, utilizando CNNs simples mas eficazes com foco em features derivadas de gradientes.</t>
  </si>
  <si>
    <t>StyleGAN2 dataset, FFHQ dataset.</t>
  </si>
  <si>
    <t>O artigo reconhece que o método ainda pode ser desafiado por técnicas avançadas de remoção de artefatos ou compressões extremas que alterem a estrutura local das imagens. O uso de imagens em cinza pode descartar informações de cor que poderiam auxiliar em certos cenários específicos. Além disso, destaca que a abordagem depende da preservação de estruturas locais na imagem, podendo ter limitações em cenários com transformações agressivas que distorçam significativamente a estrutura de gradiente.</t>
  </si>
  <si>
    <t>Os detectores propostos alcançaram acurácia superior a 99% na detecção de imagens geradas por StyleGAN2, superando soluções SOTA em imagens pós-processadas e comprimidas por OSNs. Mostraram que gradientes são características robustas que mantêm integridade mesmo após compressões pesadas, permitindo a detecção eficaz de imagens GAN em cenários reais. O DCG-Net, utilizando GM e GD em arquitetura de canal duplo, apresentou resultados superiores entre os quatro modelos propostos, garantindo detecção consistente em ambientes OSN.</t>
  </si>
  <si>
    <t>Queda de desempenho dos detectores após compressões típicas de OSNs, necessidade de características robustas para detecção pós-processamento, desenvolvimento de detectores leves e de alta acurácia sem dependência de CNNs extremamente profundas, detecção de imagens GAN realistas que escapam da percepção humana.</t>
  </si>
  <si>
    <t>Uso de gradientes (GM, GD) como características, CNNs rasas para classificação, abordagem de Dual-Channel para GM e GD, uso de operadores Sobel e Scharr para extração de gradientes, foco em robustez a OSNs, treinamento com imagens comprimidas e pós-processadas, estratégia de aprendizagem baseada em valores relativos de pixels ao invés de absolutos.</t>
  </si>
  <si>
    <t>O trabalho reconhece o impacto negativo de imagens GAN hiper-realistas em redes sociais, potencializando desinformação, fake news, perfis falsos e difamação. Ressalta a importância de ferramentas robustas de detecção para proteger a integridade digital e a segurança em ambientes sociais e informacionais, prevenindo que o uso indevido de imagens GAN cause prejuízos a indivíduos e sociedade.</t>
  </si>
  <si>
    <t>CNN baseadas em Gradientes</t>
  </si>
  <si>
    <t>ResNet50, ResNet50 com SVM, CNN-R, DenseNet201 (transfer learning), Hybrid Xception Ensemble, Xception, KNN, Random Forest, SVM Linear, SVM RBF, Softmax Classifier, Convolutional Neural Networks (CNNs).</t>
  </si>
  <si>
    <t>Este estudo realiza uma comparação de desempenho entre diferentes modelos de deep learning para detecção de imagens geradas por computador (CG) versus imagens fotográficas reais (PIM), avaliando acurácia, precisão, recall, F1 score, especificidade e taxa de erro em três datasets de referência. O objetivo é identificar o modelo mais eficaz para distinguir imagens CG realistas, destacando a dificuldade de detecção visual e a necessidade de ferramentas automáticas robustas para autenticação de imagens em um cenário de proliferação de imagens sintéticas.</t>
  </si>
  <si>
    <t>DSTok dataset, Columbia PRCG dataset, Rahmouni dataset.</t>
  </si>
  <si>
    <t>Acurácia (ACC), Precisão(P), Revocação (rec), F1-score, Especificidade, Taxa de Misclassificação</t>
  </si>
  <si>
    <t>Especificidade</t>
  </si>
  <si>
    <t>Taxa de Misclassificação</t>
  </si>
  <si>
    <t>O modelo Hybrid Xception Ensemble obteve os melhores resultados em todos os datasets, atingindo 99.29% de acurácia no DSTok, 98.9% no Rahmouni e 94% no Columbia PRCG, superando ResNet50, CNN-R, ResNet50+SVM, DenseNet201 e Xception em precisão, recall, F1 score e especificidade. O ensemble combinou Xception com classificadores KNN, Random Forest, SVM Linear e SVM RBF, utilizando majority voting para melhorar a robustez e precisão na detecção. Os outros modelos apresentaram desempenho sólido, mas inferior, com ResNet50 obtendo ~92%, CNN-R ~93%, ResNet50+SVM ~94% e DenseNet201 ~94% nos datasets avaliados.</t>
  </si>
  <si>
    <t>Os métodos, embora eficazes nos datasets testados, podem ter desempenho reduzido em imagens CG altamente realistas fora do domínio treinado. A alta dependência de treinamento supervisionado e datasets balanceados limita a aplicabilidade em cenários onde imagens rotuladas são escassas. O estudo não aborda robustez contra compressões e pós-processamentos típicos de redes sociais, sendo um aspecto a ser explorado em trabalhos futuros.</t>
  </si>
  <si>
    <t>Dificuldade de detecção visual de imagens CG, necessidade de modelos automáticos precisos, desafios em distinguir imagens CG cada vez mais realistas, importância de desempenho consistente em múltiplos datasets, avaliação de modelos em métricas amplas para comparabilidade robusta.</t>
  </si>
  <si>
    <t>Hybrid Xception Ensemble, utilização de Xception combinada com KNN, Random Forest, SVM Linear e RBF com majority voting, utilização de CNNs profundas (DenseNet201, ResNet50), transferência de aprendizado, extração de features automáticas via CNNs.</t>
  </si>
  <si>
    <t>O estudo destaca o impacto potencial de imagens CG em fake news e desinformação, além de riscos de manipulação em contextos políticos e sociais, reforçando a importância de ferramentas de detecção robustas para garantir a autenticidade de imagens e preservar a integridade informacional em mídias digitais.</t>
  </si>
  <si>
    <t>O trabalho demonstra que o Hybrid Xception Ensemble é a solução mais robusta para detecção de imagens CG entre os modelos testados, oferecendo alta acurácia e desempenho consistente em múltiplos datasets de benchmark, sendo uma abordagem promissora para sistemas de autenticação e forense de imagens sintéticas. O estudo também evidencia a relevância de utilizar ensembles para combinar a força de diferentes classificadores e CNNs, superando modelos isolados em desempenho e robustez.</t>
  </si>
  <si>
    <t>O estudo comprova que características baseadas em gradientes são altamente robustas a compressões e pós-processamentos comuns em redes sociais, possibilitando detecção de imagens GAN com alta acurácia mesmo em cenários realistas e desafiadores. A simplicidade arquitetural dos modelos propostos, aliada à eficácia das features de gradientes, representa um caminho prático e escalável para a detecção forense de imagens sintéticas, contribuindo significativamente para fortalecer a capacidade de combater o uso indevido de GANs em ambientes de OSNs e para fortalecer a integridade de sistemas digitais</t>
  </si>
  <si>
    <t>CNN-R</t>
  </si>
  <si>
    <t>Hybrid Xception Ensemble</t>
  </si>
  <si>
    <t>Columbia PRCG</t>
  </si>
  <si>
    <t>Rahmouni</t>
  </si>
  <si>
    <t>O artigo propõe um método de detecção de imagens geradas por IA baseado em Photo Response Non-Uniformity (PRNU), aproveitando o fato de que imagens reais possuem um ruído de padrão característico deixado pelo sensor da câmera, que não pode ser replicado por modelos geradores de imagens, incluindo diffusion models. O objetivo é melhorar a generalização dos detectores de imagens geradas por IA, permitindo que detectores treinados em ProGAN sejam eficazes na detecção de imagens geradas por outros modelos desconhecidos, abordando a limitação de detectores baseados apenas em artefatos de geração.</t>
  </si>
  <si>
    <t>O método proposto apresentou melhor desempenho médio de acurácia (82.2%) e precisão média (92.2%) em 11 diferentes modelos geradores de imagens, superando detectores anteriores como CNNSpot, FreDect, Fusing, Gram-Net, DIRE-G e UnivFD em média. Destacou desempenho robusto em cenários com distorções, mantendo melhores resultados em JPEG compression, downsampling e blur comparado aos baseline. O detector mostrou capacidade de identificar imagens geradas por diffusion models, onde outros detectores apresentam quedas significativas de performance, confirmando que a incorporação de PRNU contribui para uma detecção mais generalizável.</t>
  </si>
  <si>
    <t>O desempenho do detector pode ser reduzido em imagens geradas por StyleGAN e BigGAN devido às suas características de ruído realista e complexidade, bem como por pós-processamentos como blending e interpolação que mascaram os padrões de ruído utilizados pelo método. Além disso, distorções extremas podem afetar a extração eficaz de PRNU, limitando a precisão do detector.</t>
  </si>
  <si>
    <t>Falta de generalização de detectores frente a modelos geradores desconhecidos, dificuldade em detectar imagens hiper-realistas geradas por diffusion models, necessidade de robustez frente a compressões e pós-processamentos, desenvolvimento de detectores que explorem sinais intrínsecos de imagens reais (como PRNU) em vez de depender somente de artefatos de geração.</t>
  </si>
  <si>
    <t>PRNU como fingerprint para detecção, ResNet-50 combinada com streams de features de imagem e PRNU, Wavelet Decomposition, Wiener Filtering, FFT/IFFT, Data Augmentation (flipping, Gaussian noise, blur, JPEG compression), uso de benchmark extenso (11 modelos geradores).</t>
  </si>
  <si>
    <t>A presença crescente de imagens geradas por IA com alta qualidade representa um risco para a integridade de informações, desinformação e possíveis fraudes digitais. O estudo reforça a importância de métodos de detecção robustos que possam proteger ambientes digitais e forenses contra usos indevidos de imagens sintéticas, promovendo segurança e confiança em imagens digitais.</t>
  </si>
  <si>
    <t>Este trabalho demonstra que a utilização de PRNU como fingerprint intrínseco das imagens reais é uma abordagem eficaz e generalizável para detecção de imagens geradas por IA, incluindo diffusion models, apresentando resultados superiores em média em benchmarks amplos e em cenários com distorções comuns em ambientes reais. O método reforça que sinais naturais de imagens reais podem ser explorados como complemento ou substituto a técnicas baseadas em artefatos de geração, ampliando a robustez de sistemas forenses digitais.</t>
  </si>
  <si>
    <t>BigGAN</t>
  </si>
  <si>
    <t>VQDM (Vector Quantized Diffusion Model)</t>
  </si>
  <si>
    <t>ADM (Diffusion)</t>
  </si>
  <si>
    <t>ADM</t>
  </si>
  <si>
    <t>VQDM</t>
  </si>
  <si>
    <t>IMLE, ProGAN, StyleGAN, BigGAN, StarGAN, VQDM, ADM, DALL-E 2, LDM, Glide, Midjourney,CNNSpot, DiffusionForensics, GenImage, PatchCraft,LSUN,CelebA,ImageNet, GTA</t>
  </si>
  <si>
    <t>Acurácia (ACC), Precisão Média ( AP), robustez sob distorções</t>
  </si>
  <si>
    <t>O artigo explora como avançar na detecção de imagens geradas por IA, especialmente por modelos de geração por prompt (diffusion models como Stable Diffusion), usando CNNs combinadas com transferência de aprendizado, visando diferenciar imagens reais de sintéticas de forma robusta. O estudo busca melhorar os resultados de benchmark do CIFAKE dataset, destacando a importância da autenticação de conteúdo visual em um cenário de crescente uso de imagens geradas por IA em diversas indústrias e no combate à desinformação.</t>
  </si>
  <si>
    <t>O modelo EfficientNetV2B0 foi o que obteve o melhor desempenho, alcançando 97.29% de acurácia em validação, superando os resultados de base do dataset CIFAKE (92.98%). ResNet50 e VGG16 também apresentaram bons desempenhos (~90% de acurácia), enquanto o MobileNetV3Small teve desempenho inferior (~82.4%). O uso de Grad-CAM permitiu identificar que o modelo adota uma abordagem holística ao classificar imagens reais, mas se concentra em regiões específicas ao identificar imagens sintéticas, facilitando a interpretabilidade. O fine-tuning dos modelos melhorou os resultados em relação ao uso apenas de pesos congelados.</t>
  </si>
  <si>
    <t>Os autores destacam que a detecção de imagens de diffusion models é um campo emergente, com lacunas na detecção de imagens altamente realistas geradas por modelos recentes. O estudo se limita ao CIFAKE e imagens em baixa resolução (32x32), sendo necessária a investigação em imagens de alta resolução e outros datasets. O modelo ainda depende de datasets balanceados para treinamento supervisionado.</t>
  </si>
  <si>
    <t>A dificuldade crescente de diferenciar imagens reais de sintéticas geradas por diffusion models, necessidade de mecanismos interpretáveis de detecção, escassez de benchmarks robustos e a necessidade de ferramentas escaláveis para uso em moderação de conteúdo e forense digital.</t>
  </si>
  <si>
    <t>EfficientNetV2B0, ResNet50, VGG16, MobileNetV3Small, Grad-CAM para interpretabilidade, Transfer Learning, Fine-tuning de modelos pré-treinados, uso de datasets balanceados como CIFAKE, integração de múltiplos modelos CNN para comparação de desempenho.</t>
  </si>
  <si>
    <t>O artigo destaca preocupações éticas associadas ao uso de imagens geradas por IA, incluindo desinformação, falsificação de identidades, fraude e impacto na arte e fotografia, ressaltando a importância de desenvolver sistemas de detecção para proteger a integridade informacional e garantir segurança em ambientes digitais.</t>
  </si>
  <si>
    <t>O estudo demonstra que modelos CNN otimizados por transferência de aprendizado, em especial o EfficientNetV2B0, são altamente eficazes para detectar imagens sintéticas geradas por diffusion models em cenários de benchmark como o CIFAKE, elevando o nível de acurácia em relação a resultados prévios. Destaca ainda o valor do Grad-CAM como ferramenta interpretável para compreender os focos de atenção do modelo durante a classificação. O artigo contribui para o avanço na detecção de imagens IA em cenários práticos de moderação de conteúdo, forense digital e monitoramento de desinformação.</t>
  </si>
  <si>
    <t>fusing</t>
  </si>
  <si>
    <t>CIFAKE, ImageNet</t>
  </si>
  <si>
    <t>Convolutional Neural Networks (CNNs), Transfer Learning, ResNet50, VGG16, EfficientNetV2B0, MobileNetV3Small, Grad-CAM, Adamax Optimizer, Binary Cross-Entropy Loss, Batch Normalization, Dropout, ReLU Activation, Sigmoid Activation, Fine-tuning, ImageNet Pre-trained Weights,Transfer Learning,Fine-tuning, augmentation,Stable Diffusion, Loss</t>
  </si>
  <si>
    <t>Acurácia (ACC), Precisão(P), Revocação (rec),Validação cruzada</t>
  </si>
  <si>
    <t xml:space="preserve"> </t>
  </si>
  <si>
    <t>ano</t>
  </si>
  <si>
    <t>freq</t>
  </si>
  <si>
    <t>Métricas de Desempenho</t>
  </si>
  <si>
    <t>Resultados de Desempenho</t>
  </si>
  <si>
    <t>Limitações Identificadas</t>
  </si>
  <si>
    <t>Desafios Abordados</t>
  </si>
  <si>
    <t>Ferramentas Promissoras</t>
  </si>
  <si>
    <t>Implicações Sociais/Éticas</t>
  </si>
  <si>
    <t>O artigo investiga a eficácia do modelo CLIP Vision Transformer (ViT) na detecção de imagens geradas por IA, com foco na capacidade de generalização baseada em características semânticas, em oposição à detecção de padrões específicos de datasets. O trabalho propõe uma abordagem de validação cruzada em que o modelo é treinado em imagens geradas por um modelo específico e testado em imagens provenientes de outros geradores, com o objetivo de simular cenários reais onde o detector encontra imagens sintéticas nunca vistas. A principal hipótese é que, ao extrair significados semânticos em vez de artefatos de baixo nível, o CLIP ViT consegue detectar falsificações com maior robustez e generalização.</t>
  </si>
  <si>
    <t>GenImage (composto por imagens reais do ImageNet-1k e imagens sintéticas geradas por MidJourney, Stable Diffusion V1.4, Stable Diffusion V1.5, ADM, GLIDE, Wukong, VQDM, BigGAN).</t>
  </si>
  <si>
    <t>Acurácia (ACC), Acurácia Média Cruzada (Cross-Validation Accuracy)</t>
  </si>
  <si>
    <t>CLIP ViT, Detecção baseada em características semânticas, Validação cruzada entre datasets de diferentes geradores, GenImage dataset, Uso de modelos pré-treinados com ajuste fino (fine-tuning), Abordagem supervisionada com arquitetura Transformer.</t>
  </si>
  <si>
    <t>O artigo menciona os riscos sociais e éticos do uso malicioso de imagens geradas por IA, como fraudes digitais, deepfakes envolvendo figuras públicas e proliferação de desinformação. O cenário apresentado na introdução destaca casos ocorridos em Taiwan, reforçando a urgência de ferramentas automatizadas confiáveis para mitigar os danos sociais e restaurar a confiança no conteúdo digital.</t>
  </si>
  <si>
    <t>A principal contribuição do artigo é demonstrar que modelos baseados em extração semântica, como o CLIP ViT, oferecem uma solução mais generalizável para a detecção de imagens falsas em comparação com abordagens tradicionais baseadas em CNNs ou padrões de frequência. O uso de validação cruzada entre oito modelos geradores diferentes revelou que o CLIP ViT não apenas obtém alta acurácia, mas também mantém desempenho estável em cenários adversos, o que indica que sua representação semântica transcende artefatos específicos. Embora ainda seja necessário investigar empiricamente como essas representações são formadas, o artigo aponta para um novo paradigma na detecção de imagens geradas por IA, em que a compreensão semântica pode ser a chave para combater manipulações visuais em escala global e dinâmica.</t>
  </si>
  <si>
    <t>UnivFD (UniversalFakeDetection), ForenSynths, LSUN, ProGAN, CycleGAN, BigGAN, StyleGAN, GauGAN, StarGAN, Deepfakes, SITD, SAN, CRN, IMLE, Guided Diffusion Model, LDM, Glide, DALL-E.</t>
  </si>
  <si>
    <t>Acurácia (ACC), AUC (Área sob a Curva ROC),Curva ROC,AUC Média em Generalização de Domínio Aberto</t>
  </si>
  <si>
    <t>O método proposto alcançou acurácia de 99.1% em dados vistos e até 91.4% de AUC médio em dados de domínio aberto, superando diversos métodos de última geração como Gram-Net, F3Net, CNN-Spot, Fusing, DIRE-G, UnivFD e outros. A compressão baseada na distância de Wasserstein mostrou-se eficaz para preservar os componentes discriminativos da distribuição de features, permitindo melhor generalização para domínios não vistos. O classificador com agregação dinâmica foi capaz de aprender representações mais robustas de diferentes fontes de dados e adaptar seu julgamento com base na distribuição global das amostras, diferentemente de classificadores lineares fixos.</t>
  </si>
  <si>
    <t>Embora os resultados sejam promissores, os autores reconhecem que o desempenho ainda pode variar dependendo da escolha dos clusters e das características extraídas, especialmente quando o espaço latente apresenta sobreposição entre domínios reais e sintéticos. O modelo depende da qualidade das features extraídas previamente (CLIP ViT) e não realiza aprendizado de representação de forma fim-a-fim. Outro ponto é a sensibilidade à parametrização da compressão de Wasserstein e ao número de componentes dinâmicos utilizados.</t>
  </si>
  <si>
    <t>A falta de generalização de detectores de imagens geradas por IA para modelos desconhecidos, o viés gerado por treinamento restrito a modelos específicos de GAN ou diffusion, e a incapacidade de classificadores tradicionais lidarem com a diversidade de distribuições geradas por modelos modernos. O trabalho enfrenta o desafio de como representar e classificar amostras com base em informações de distribuição global e não apenas características pontuais.</t>
  </si>
  <si>
    <t>Uso de compressão de distância de Wasserstein para representar diferenças de distribuição, agregação dinâmica baseada em componentes latentes, clustering no espaço de Wasserstein, extração de features com CLIP ViT, ajuste com Kernel Linear com componentes estáticos e dinâmicos, regularização de matriz de rank um para controlar sobreajuste, arquitetura modular que separa extração de features e aprendizado de decisão.</t>
  </si>
  <si>
    <t>O artigo aborda o uso indevido crescente de imagens geradas por IA, especialmente em deepfakes, desinformação, falsificações visuais e segurança digital. A detecção eficaz de tais imagens é fundamental para garantir confiança em plataformas digitais e ferramentas forenses, exigindo soluções que possam se adaptar a modelos geradores em rápida evolução. Detectores robustos e generalizáveis são vitais para combater ameaças sociais e éticas emergentes.</t>
  </si>
  <si>
    <t>O trabalho propõe uma nova abordagem centrada em representações de distribuição via distância de Wasserstein e classificação por agregação dinâmica, que se mostrou superior aos detectores tradicionais, especialmente em domínios desconhecidos. Ao utilizar a estrutura de distribuição das features e realizar compressão inteligente dos componentes mais discriminativos, o modelo é capaz de preservar informação semântica essencial para a detecção de imagens geradas por IA, mesmo quando enfrentando modelos desconhecidos como diffusion models. O classificador dinâmico melhora a robustez e adaptabilidade, tornando esta proposta uma contribuição importante para o avanço dos sistemas de detecção forense de imagens sintéticas em escala real.</t>
  </si>
  <si>
    <t>Dynamic Aggregation Classifier, Wasserstein Distance Compression, Wasserstein Clustering, CLIP:ViT , Linear Kernel, Rank-One Matrix Regularization, Adam Optimizer, Early Stopping, Função de Perda Cross-Entropy, Feature Space Aggregation, Optimal Transport Mapping, Variational Method, Sigmoid Function, Batch Size 256. ProGAN, CycleGAN, BigGAN, StyleGAN, GauGAN, StarGAN, Deepfakes, SITD (Seeing in the Dark), SAN (Second-order Attention Network), CRN (Cascaded Refinement Networks), IMLE (Implicit Maximum Likelihood Estimation), Guided Diffusion Model, Latent Diffusion Models (LDM) , Glide, DALL-E. CNN Classifier, Patch Classifier, Co-occurrence Matrices + Deep Learning , Spec, UnivFD, UnivFD. Autoencoder, Markov Random Fields, GANs, Diffusion Models, Image-to-Image Translation, Style Transfer, Low-Light Enhancement, Super-Resolution, Feature Binarization, Metric Space Geometry Preservation.</t>
  </si>
  <si>
    <t>O artigo propõe um modelo de detecção de imagens geradas por computador que combina aprendizado de características em múltiplas escalas com o uso do Convolutional Block Attention Module (CBAM). A motivação central é lidar com o desafio de distinguir imagens sintéticas (CG) altamente realistas de imagens fotográficas (PG), especialmente diante da sofisticação crescente dos geradores e da semelhança visual entre ambas. O modelo visa extrair tanto características de baixo nível (detalhes e texturas) quanto características de alto nível (semântica e contexto global), e utiliza mecanismos de atenção para dar pesos diferenciados a partes relevantes da imagem. O artigo também aborda como a fusão multi-escalar e a atenção espacial e de canais ajudam a melhorar a capacidade discriminativa do modelo, sem adicionar grande custo computacional.</t>
  </si>
  <si>
    <t>Acurácia (ACC) Taxa de Verdadeiros Positivos (TPR), Taxa de Verdadeiros Negativos (TNR), FPR (Taxa de Falsos Positivos), FNR (Taxa de Falsos Negativos)</t>
  </si>
  <si>
    <t>O modelo proposto atingiu 93.52% de acurácia no dataset NLPR-LSCGB e 98.86% no dataset Columbia, superando os métodos comparados, como Nguyen (89.64% e 94.45%), Quan (83.40% e 91.32%), Yao (83.40% e 88.92%) e Meena (91.00% e 93.85%). O desempenho elevado mostra a efetividade da fusão multi-escalar combinada com a atenção em destacar características relevantes para diferenciar imagens CG e PG, mesmo em bases desafiadoras como a NLPR-LSCGB, que possui imagens sintéticas e reais com estatísticas de cor, brilho e saturação muito próximas.</t>
  </si>
  <si>
    <t>Os autores reconhecem que embora a fusão multi-escalar de características e o uso de atenção melhorem a representação, a diferença semântica entre mapas de características de diferentes escalas ainda pode impactar negativamente a acurácia. Além disso, o artigo não menciona avaliação em cenários de generalização para modelos ou domínios não vistos, o que limita a análise da robustez do método em contextos adversos e reais. A dependência de redes base como VGG19 também pode limitar a escalabilidade ou a adaptação a arquiteturas mais modernas.</t>
  </si>
  <si>
    <t>O desafio principal abordado é o da detecção precisa de imagens sintéticas realistas, que se tornam cada vez mais indistinguíveis visualmente. O modelo busca superar os limites de abordagens que utilizam apenas características de um único nível ou técnicas manuais, que falham diante da complexidade visual crescente das imagens CG. Também é enfrentado o desafio de como destacar automaticamente as partes mais relevantes da imagem para a tarefa de detecção, sem sobrecarregar o modelo.</t>
  </si>
  <si>
    <t>Multi-Scale Feature Fusion, CBAM (atenção de canal e espacial), VGG19 com Fine-Tuning, Extração de Características de Baixo e Alto Nível, Módulo de Aprimoramento de Textura, Aplicações de Transfer Learning, Estratégias de Data Augmentation (corte, espelhamento), Treinamento com Otimização Adam, Arquitetura Modular (extração → aprimoramento → atenção → classificação).</t>
  </si>
  <si>
    <t>O artigo reconhece que imagens geradas por computador, apesar de populares em filmes, jogos e publicidade, também têm potencial de uso malicioso, como difamação, desinformação e disseminação de fake news. A detecção precisa é fundamental para preservar a integridade informacional em redes sociais e evitar que imagens sintéticas enganem o público ou causem pânico. A crescente acessibilidade de ferramentas de síntese amplia esses riscos, tornando urgente o desenvolvimento de sistemas forenses eficazes.</t>
  </si>
  <si>
    <t>A principal contribuição do artigo é o desenvolvimento de um modelo eficaz de detecção de imagens CG que combina informações em múltiplas escalas com atenção adaptativa, o que resulta em maior capacidade discriminativa e melhor desempenho do que métodos anteriores. O uso de mecanismos de atenção permite que o modelo focalize regiões cruciais e características relevantes da imagem, enquanto a fusão de diferentes níveis de representação proporciona uma compreensão mais rica e contextualizada da imagem analisada. O modelo mostrou excelente desempenho nos dois datasets utilizados, validando sua aplicação em contextos forenses digitais. A arquitetura proposta representa um avanço no uso eficiente de atenção e fusão de características para detecção de imagens sintéticas altamente realistas.</t>
  </si>
  <si>
    <t>VGG19 (pré-treinado), Multi-Scale Feature Fusion, CBAM (Convolutional Block Attention Module), Transfer Learning, Texture Enhancement Module, Convolutional Neural Networks (CNN), Adam Optimizer, Data Augmentation (crop, flip), Batch Normalization, Non-linear Activation, Fully Connected Layers.</t>
  </si>
  <si>
    <t>NLPR-LSCGB, Columbia Dataset.</t>
  </si>
  <si>
    <t>Este estudo tem como objetivo desenvolver e avaliar um modelo de aprendizado profundo altamente eficaz para detectar imagens geradas por IA em contextos de jornalismo e mídia. Diante da crescente ameaça representada por imagens sintéticas realistas criadas por modelos como GANs e modelos de difusão, os autores propõem uma abordagem baseada em CNN (Convolutional Neural Network) customizada, treinada em um conjunto de dados composto por imagens reais extraídas de sites jornalísticos e imagens falsas geradas com Stable Diffusion. O foco principal é proporcionar aos jornalistas uma ferramenta confiável para evitar a incorporação de conteúdo visual artificial em reportagens, com a finalidade de preservar a integridade jornalística e restaurar a confiança pública na mídia visual.</t>
  </si>
  <si>
    <t>O modelo CNN proposto atingiu 98.66% de acurácia no conjunto de treinamento e 98.15% no conjunto de validação ao final de 20 épocas, com perda final de 0.0420 (treino) e 0.0863 (validação). O modelo InceptionV3, usado como baseline de Transfer Learning, obteve 92.72% de acurácia de treino e 89.09% de validação. O ResNet50 apresentou desempenho inferior, alcançando apenas 82.90% no treino e 85.21% na validação. O CNN proposto demonstrou melhor eficiência de convergência, robustez na generalização e menor risco de overfitting, consolidando-se como superior às alternativas avaliadas.</t>
  </si>
  <si>
    <t>Apesar da performance elevada, os autores reconhecem que o modelo pode ser impactado por imagens de baixa qualidade, ataques adversariais e a diversidade de técnicas gerativas. A ausência de testes com outros modelos generativos além do Stable Diffusion também é uma limitação metodológica, assim como a ausência de avaliação cruzada com bases abertas e padronizadas internacionalmente. Além disso, o número relativamente baixo de imagens sintéticas (1.200) pode limitar a capacidade de generalização diante de variações não contempladas durante o treinamento.</t>
  </si>
  <si>
    <t>Os principais desafios enfrentados incluem: a crescente sofisticação de imagens geradas por IA; a dificuldade de distinguir padrões artificiais sutis de aspectos visuais naturais; a necessidade de ferramentas eficazes e acessíveis para contextos jornalísticos; e a vulnerabilidade dos sistemas de detecção a ataques adversariais. O estudo também reconhece o desafio técnico de manter a eficácia de detecção frente à rápida evolução dos modelos generativos.</t>
  </si>
  <si>
    <t>Arquitetura CNN customizada otimizada por NAS, uso de camadas convolucionais com ativação ReLU e pooling max, integração de múltiplas camadas Dense com Dropout, Transfer Learning com InceptionV3 e ResNet50 para fins comparativos, uso de geração sintética via Stable Diffusion para composição do dataset, Web Scraping automatizado para coleta de dados reais de veículos jornalísticos.</t>
  </si>
  <si>
    <t>O artigo enfatiza que a disseminação de imagens falsas compromete a confiança pública na mídia e prejudica a integridade jornalística. Em um cenário onde imagens são usadas como evidência de fatos, a incapacidade de distinguir entre o real e o artificial pode permitir a propagação de desinformação e manipulação de narrativas. Ferramentas de detecção robustas são vistas como essenciais para conter o uso malicioso da IA na produção de conteúdo visual. O trabalho reconhece que o avanço técnico precisa ser acompanhado por diretrizes éticas e regulatórias voltadas à transparência e verificação da veracidade visual.</t>
  </si>
  <si>
    <t>O artigo propõe uma abordagem eficaz e leve para detecção de imagens geradas por IA, centrada em uma arquitetura CNN que supera modelos de Transfer Learning como InceptionV3 e ResNet50 tanto em acurácia quanto em velocidade de convergência. Utilizando uma base mista composta por imagens reais de sites jornalísticos e imagens falsas geradas com Stable Diffusion, o modelo atinge desempenho notável e boa capacidade de generalização. A proposta se destaca por seu potencial de aplicação direta em ambientes jornalísticos e sua viabilidade computacional. Além disso, os autores destacam que, frente à intensificação do uso de imagens falsas como instrumento de desinformação, soluções como esta são urgentes para garantir a integridade da mídia visual. O estudo contribui significativamente para o campo da detecção forense de imagens, propondo uma alternativa técnica eficaz e viável para contextos do mundo real.</t>
  </si>
  <si>
    <t>Convolutional Neural Networks (CNN), InceptionV3 (Transfer Learning), ResNet50 (Transfer Learning), Neural Architecture Search (NAS), ReLU, MaxPooling, Dropout, Dense Layers, Sigmoid Activation, Softmax Activation, Data Augmentation, Early Stopping, Web Scraping, Stable Diffusion,StyleGAN, ProGAN, Diffusion Models (DMs)</t>
  </si>
  <si>
    <t>Imagens reais coletadas de sites jornalísticos (India Times, Times of India, Al Jazeera), imagens sintéticas geradas com Stable Diffusion, base final composta por 1.500 imagens reais e 1.200 imagens geradas por IA.</t>
  </si>
  <si>
    <t>Curvas de perda (Loss), Acurácia (ACC).</t>
  </si>
  <si>
    <t>O estudo propõe um modelo de rede neural convolucional (CNN) aprimorado com blocos residuais e técnicas de regularização para detecção de imagens geradas por inteligência artificial. A proposta visa melhorar a robustez e a capacidade de generalização do modelo na tarefa de distinguir entre imagens reais e falsas, frente aos avanços sofisticados de geração visual por meio de GANs e modelos de difusão. O trabalho se baseia em uma arquitetura híbrida que combina as capacidades de extração de características locais das CNNs com os benefícios de aprendizado profundo dos blocos residuais inspirados em ResNet, e é avaliado no dataset 140k Real and Fake Faces (RFF), demonstrando desempenho superior em relação a modelos comparáveis.</t>
  </si>
  <si>
    <t>O modelo proposto alcançou uma acurácia de 98.125% no conjunto de teste, com ROC-AUC de 99.75 e AP Score de 99.72. Durante o treinamento, obteve 99.42% de acurácia com perda de 0.0315 no treino e 98.12% de acurácia com perda de 0.0879 na validação (época 13). A matriz de confusão indicou 9.851 verdadeiros positivos e 9.774 verdadeiros negativos, com apenas 149 falsos positivos e 226 falsos negativos. O desempenho é robusto, apresentando equilíbrio entre precisão (0.98), recall (0.99 para classe real e 0.98 para classe falsa), e F1-score (0.98) para ambas as classes.</t>
  </si>
  <si>
    <t>Embora o modelo tenha apresentado alto desempenho, os autores não discutem explicitamente limitações do modelo em relação à adversarial robustness ou generalização frente a outros tipos de manipulação além das presentes no dataset RFF. A diversidade do conjunto de dados é limitada a rostos gerados por StyleGAN, sem avaliação em domínios não faciais ou em outras arquiteturas de geração, o que pode restringir a generalização do modelo em aplicações do mundo real mais amplas.</t>
  </si>
  <si>
    <t>O artigo reconhece que os métodos tradicionais de detecção de falsificações são insuficientes frente ao avanço rápido das tecnologias de geração de imagens por IA. A principal dificuldade está em detectar padrões visuais sintéticos cada vez mais sutis que desafiam modelos baseados em extração manual de características. Além disso, combater o overfitting em redes profundas treinadas com conjuntos de dados amplos e balancear desempenho com interpretabilidade foram desafios enfrentados na formulação do modelo.</t>
  </si>
  <si>
    <t>A arquitetura CNN com blocos residuais melhora a estabilidade em redes profundas. A utilização de técnicas como L2 Regularization, Dropout, callbacks de redução de taxa de aprendizado e early stopping são componentes críticos para alcançar desempenho generalizável. A comparação com métodos baseados em Transfer Learning (VGG16, VGG19, InceptionV3) destaca a vantagem de arquiteturas customizadas. A análise do fluxo de gradientes e a visualização da aprendizagem ajudam na interpretação e ajuste da arquitetura.</t>
  </si>
  <si>
    <t>O trabalho ressalta que imagens falsas geradas por IA representam uma ameaça significativa para a integridade da informação visual, podendo propagar desinformação, prejudicar reputações e causar danos financeiros. O desenvolvimento de ferramentas automatizadas e confiáveis para autenticação de imagens é crucial para conter a disseminação de conteúdo manipulado, especialmente em redes sociais e contextos públicos. Embora não se aprofunde em implicações jurídicas ou regulatórias, o artigo aponta para a urgência de soluções técnicas diante da proliferação de imagens sintéticas hiper-realistas.</t>
  </si>
  <si>
    <t>O estudo propõe uma solução robusta baseada em um modelo CNN com blocos residuais e técnicas de regularização para a detecção de imagens geradas por IA, alcançando desempenho de ponta em termos de acurácia, precisão e generalização. A escolha do dataset RFF, com imagens reais do Flickr e falsas do StyleGAN, proporciona uma base sólida para avaliação, embora limitada a rostos. A arquitetura supera modelos pré-treinados populares como VGG e Inception, reforçando o valor de soluções customizadas para o problema. A eficácia do modelo em detectar imagens falsas com alta precisão o torna promissor para aplicações práticas em contextos digitais onde a verificação de autenticidade visual é essencial.</t>
  </si>
  <si>
    <t>Custom CNN com blocos residuais, ResNet, L2 Regularization, Dropout, ImageDataGenerator, Data Augmentation (flip horizontal, rescaling), Softmax Activation, Adam Optimizer, EarlyStopping, ReduceLROnPlateau, CSVLogger, ModelCheckpoint, Transfer Learning (VGG16, VGG19, InceptionV3), Visualização de métricas de treino e validação, Confusion Matrix, Classification Report, GANs, StyleGAN, ProGAN, Deepfake, Text-to-Image Diffusion Models.</t>
  </si>
  <si>
    <t>140k Real and Fake Faces (RFF), Flickr Dataset, StyleGAN Faces (1 milhão geradas, 70 mil selecionadas), CelebA, FFHQ, ImageNet</t>
  </si>
  <si>
    <t>Acurácia (ACC), Precisão(P), Revocação (rec), F1-score, AUC (Área sob a Curva ROC),Taxa de Verdadeiros Positivos (TPR), Taxa de Verdadeiros Negativos (TNR), FPR (Taxa de Falsos Positivos), FNR (Taxa de Falsos Negativos), Precisão Média (AP)</t>
  </si>
  <si>
    <t>O artigo tem como principal objetivo propor um novo método para detecção de imagens geradas por IA que seja altamente interpretável, ao contrário da maioria dos detectores baseados em redes neurais profundas, que funcionam como "caixas-pretas". Para isso, os autores utilizam Programação Genética (Genetic Programming, GP) para evoluir pipelines de detecção que combinem operadores de filtragem, extração de características e classificadores tradicionais de forma modular e compreensível. O foco é alcançar bons resultados de detecção com interpretabilidade explícita, o que é crucial para aplicações forenses e contextos de confiança social, como o jornalismo e a perícia digital.</t>
  </si>
  <si>
    <t>A abordagem baseada em GP obteve desempenho competitivo com detectores supervisionados tradicionais, alcançando bons níveis de acurácia e AP mesmo quando testada em imagens geradas por modelos desconhecidos (unseen generators). Além disso, o método permitiu interpretabilidade explícita: cada pipeline de detecção pode ser visualizado como uma árvore de operações, mostrando, por exemplo, a sequência de filtros aplicados, a técnica de extração de características usada e o classificador final (como SVM). Os autores mostram que é possível alcançar resultados robustos sem comprometer a transparência, superando modelos "caixa-preta" em aplicações sensíveis.</t>
  </si>
  <si>
    <t>A técnica de GP, embora interpretable, exige maior tempo computacional e recursos durante o processo evolutivo em comparação com redes neurais treinadas diretamente. O método também depende de uma boa escolha inicial dos operadores e funções de avaliação para guiar a busca. Além disso, a abordagem ainda precisa de refinamento para generalizar melhor para imagens muito complexas ou altamente pós-processadas.</t>
  </si>
  <si>
    <t>O principal desafio abordado é o de detectar imagens geradas por IA de forma interpretável e confiável, especialmente em cenários de segurança, legalidade ou responsabilidade pública. Outro desafio é a generalização frente a novos geradores (unseen models), bem como a necessidade de sistemas que expliquem suas decisões de forma clara para usuários humanos. Os autores também enfrentam a dificuldade de combinar diferentes tipos de operadores visuais em pipelines eficazes sem intervenção humana.</t>
  </si>
  <si>
    <t>Programação Genética para descoberta automática de pipelines de detecção, uso combinado de filtros clássicos (Sobel, Gaussian, FFT etc.) com métodos de extração robustos (HOG, SIFT, DIF), SVM como classificador transparente, Pareto Optimization para balancear desempenho e interpretabilidade, representação gráfica das árvores de decisão, avaliação em diversos modelos geradores GAN e frameworks adaptáveis a diferentes domínios visuais.</t>
  </si>
  <si>
    <t>O artigo enfatiza que, em um contexto onde imagens falsas podem ser utilizadas para manipular eleições, difamar indivíduos ou espalhar desinformação, é essencial que os métodos de detecção sejam não apenas precisos, mas também transparentes e compreensíveis para humanos. Isso é especialmente importante em ambientes legais, jornalísticos e governamentais. A proposta visa fornecer ferramentas que aumentem a confiança pública ao permitir que um especialista (ou até mesmo o público) compreenda como uma imagem foi considerada falsa.</t>
  </si>
  <si>
    <t>A principal contribuição do artigo é demonstrar que a detecção de imagens geradas por IA não precisa depender exclusivamente de modelos "caixa-preta" baseados em deep learning. Por meio da Programação Genética, é possível evoluir pipelines compostos por operações visuais tradicionais e classificadores interpretáveis, alcançando resultados robustos em termos de acurácia e AP, mesmo em cenários de domínio aberto. A proposta equilibra desempenho técnico com explicabilidade, um fator-chave para aplicações em ambientes sensíveis. Este trabalho aponta para um novo paradigma onde explicabilidade e eficácia caminham juntas, especialmente no enfrentamento de riscos sociais e éticos provocados por conteúdos sintéticos visuais.</t>
  </si>
  <si>
    <t>Genetic Programming (GP), Multi-objective Evolutionary Optimization, Region Detection Layer, Image Filtering Layer (Sobel, Gaussian, Laplacian, Median, LoG, FFT, Max/Min/Mean filters), Feature Extraction Layer (SIFT, HOG, Histogram, Domain-Independent Features - DIF), Feature Concatenation, Support Vector Machine (SVM), Pareto Front Optimization, Visualização de pipelines interpretáveis (em árvore), Geradores de imagens: ProGAN, StyleGAN, BigGAN, CycleGAN, StarGAN, GauGAN, CRN, IMLE, SITD, SAN, Deepfake.</t>
  </si>
  <si>
    <t>Dataset sintético composto por imagens reais e falsas geradas por: ProGAN, StyleGAN, BigGAN, CycleGAN, StarGAN, GauGAN, CRN, IMLE, SITD, SAN</t>
  </si>
  <si>
    <t>Este estudo investiga como aprimorar a capacidade de generalização de modelos de detecção de imagens sintéticas, com ênfase em detectar imagens geradas por modelos de difusão, que apresentam características diferentes daquelas criadas por GANs. O trabalho parte da observação de que detectores treinados exclusivamente em imagens de GANs falham sistematicamente ao serem expostos a imagens provenientes de modelos de difusão. Para lidar com esse problema, os autores exploram e adaptam a arquitetura DIRE (Diffusion Reconstruction Error), um modelo que utiliza a reconstrução de imagens para detectar conteúdos artificiais. A principal proposta é avaliar o impacto de diferentes redes de classificação aplicadas sobre a saída do DIRE — particularmente redes profundas versus redes rasas — e demonstrar que redes menos profundas, como VGG16, ResNet18 e EfficientNet-B4, possuem maior capacidade de generalização, extraindo características mais universais e menos enviesadas ao domínio do treinamento.</t>
  </si>
  <si>
    <t>LSUN-bedroom (imagens reais), ELSA1M (dataset sintético), CelebA-HQ, ImageNet, LSUN</t>
  </si>
  <si>
    <t>O estudo mostra que o DIRE, quando utilizado com redes profundas sem ajustes (como no modelo original), apresenta desempenho fraco em imagens de modelos de difusão, como aquelas do ELSA1M. No entanto, ao empregar redes rasas com fine-tuning na camada final, o desempenho melhora significativamente. O EfficientNet-B4 atinge acurácia de 99,9% em algumas classes geradas por modelos como SD-v1 e ADM. VGG16 e ResNet18 também apresentaram resultados consistentes e robustos. A abordagem supera modelos supervisionados como Mandelli Ensemble, Grag e Wang. Os testes mostram que modelos rasos ajustados detectam com maior eficácia a presença de artefatos ou inconsistências em imagens de difusão, mesmo diante de distorções leves.</t>
  </si>
  <si>
    <t>Os autores apontam que mesmo os modelos adaptados ainda não são completamente robustos a perturbações visuais mais severas (como compressão extrema, ruído intenso ou pós-processamentos não lineares). Outra limitação é a dependência da qualidade da reconstrução feita pelo modelo ADM, que pode variar conforme a arquitetura e os parâmetros utilizados. A arquitetura DIRE, embora eficiente, ainda requer grande capacidade computacional para reconstrução das imagens. O artigo também reconhece a limitação da avaliação centrada em datasets com categorias visuais específicas, como quartos e rostos, o que limita o escopo de aplicação imediata.</t>
  </si>
  <si>
    <t>Um dos principais desafios enfrentados é a generalização de modelos de detecção para imagens sintéticas produzidas por geradores desconhecidos ou tecnologicamente mais recentes, como os de difusão. Outro desafio é evitar o overfitting em modelos profundos e construir detectores mais leves que não dependam de características altamente específicas do domínio de treinamento. Além disso, o artigo reconhece o desafio de encontrar características universais que possam distinguir imagens geradas por IA de imagens reais em um cenário visual amplo e diverso.</t>
  </si>
  <si>
    <t>Uso do modelo DIRE com reconstrução baseada em ADM, substituição de classificadores profundos por redes rasas como ResNet18, VGG16 e EfficientNet-B4, fine-tuning das camadas finais para maior especialização, estratégias de data augmentation com ruído e transformações geométricas, uso de Platt Scaling para calibrar as probabilidades do classificador, agregação por patches como técnica auxiliar para robustez, e exploração de modelos de difusão como SD-v1, SD-v2, LDM, VQDiffusion e PNDM como fontes diversas de dados sintéticos.</t>
  </si>
  <si>
    <t>O artigo alerta para os riscos significativos que imagens sintéticas representam no cenário contemporâneo, principalmente as geradas por modelos de difusão, que se tornaram muito realistas. A proliferação de imagens artificiais sem detecção eficiente pode facilitar a desinformação, manipulação política, fraudes e prejuízos à confiança pública em sistemas de informação e mídia digital. Portanto, é urgente desenvolver métodos que combinem robustez técnica com adaptabilidade, assegurando a integridade visual em contextos sensíveis como jornalismo, perícia e segurança.</t>
  </si>
  <si>
    <t>O trabalho revela que a capacidade de generalização de modelos de detecção de imagens sintéticas pode ser substancialmente ampliada ao substituir arquiteturas profundas por redes mais simples, mas bem ajustadas. A reconfiguração da arquitetura DIRE, combinada com uma seleção criteriosa de classificadores e ajustes leves nas camadas finais, permite detectar eficazmente imagens de difusão, mesmo quando o detector não foi treinado diretamente sobre elas. O estudo reforça a importância de projetar modelos que extraiam características latentes generalizáveis, em vez de padrões visuais específicos e frágeis. Esta abordagem se destaca como uma contribuição estratégica para fortalecer os sistemas de detecção forense visual em um ambiente de rápida evolução dos modelos geradores.</t>
  </si>
  <si>
    <t>DIRE (Diffusion Reconstruction Error), Ablated Diffusion Model (ADM), Denoising Diffusion Probabilistic Models (DDPM), Improved DDPM (iDDPM), Pseudo Numerical Methods for Diffusion Models (PNDM), Latent Diffusion Model (LDM), Stable Diffusion v1 e v2, VQDiffusion, ResNet18, VGG16, EfficientNet-B4, XceptionNet, DnCNN, U-Net, Patch Aggregation, Platt Scaling, Augmentações (Gaussian Noise, Cutout, Geometric Transformations), StyleGAN2, ProGAN, StyleGAN3, Mandelli Ensemble, Grag Model, Wang Model.</t>
  </si>
  <si>
    <t>AutoGAN</t>
  </si>
  <si>
    <t>Patch Classifier</t>
  </si>
  <si>
    <t>CNN Classifier</t>
  </si>
  <si>
    <t>Artifact Purification Network (APN) com purificação explícita (método de proposta de banda de frequência suspeita e decomposição de características espaciais) e purificação implícita (estratégia de treinamento baseada na estimação de informação mútua). Backbones: Swin-Transformer-tiny (ramo espacial) e resnet18 (ramo de frequência). Outros métodos de detecção de linha de base: Spec, CNNSpot, F3Net, GramNet, PatchFron, Swin-T, Patch5M, SIA, LNP, LGrad, UniversalDet.</t>
  </si>
  <si>
    <t>CLIP (Contrastive Language-Image Pre-Training), SVM (Support Vector Machine) linear, resnet50, LGrad, DIRE, NPR, PatchForensics, Liu et al., Corvi et al., Ojha et al.</t>
  </si>
  <si>
    <t>Deep Image Fingerprint (DIF), Convolutional Neural Networks (CNNs), Generative Adversarial Networks (GANs), Diffusion Models, Large Text-to-Image Models (LTIMs), U-Net, DnCNN (denoising filter), Adam optimizer, Pearson Correlation Coefficient, Contrastive loss, resnet50, resnetM, Fast Fourier Transform (FFT).</t>
  </si>
  <si>
    <t>Denoising Diffusion Probabilistic Models (DDPMs), Denoising Diffusion Implicit Models (DDIMs), DIffusion REconstruction Error (DIRE), Redes Neurais Convolucionais (CNNs), resnet50, Generative Adversarial Networks (GANs), Variational Autoencoders (VAEs), EfficientNet-B4, F3Net, Patchforensics, SBI (Self-Blended Images).</t>
  </si>
  <si>
    <t>Esquema auto-supervisionado, Gerador de Artefatos Artificiais (Autoencoders, Autoencoder de Upsampling de Alto Nível (Ghigh​), Autoencoder de Upsampling de Baixo Nível (Glow​), Autoencoder sem Upsampling (Gnon​)), Detector GAN (baseado em resnet50), Transformada Rápida de Fourier (FFT), Algoritmo Mixup, Otimizador Adam, Função de ativação ReLU, Camada de deconvolução</t>
  </si>
  <si>
    <t>Generative Adversarial Networks (GANs), Diffusion Models, StyleGAN2, Latent Diffusion, Convolutional Neural Networks (CNNs), resnet50, Quality Calculation (QC) score, Gaussian Mixture Model (GMM), Inception model, AdamW optimizer, data augmentation (random crop, resize, Gaussian blurring, JPEG compression, drop path).</t>
  </si>
  <si>
    <t>CLIP ViT (Vision Transformer), resnet50, Swin-T, DeiT-S, CNNSpot, Spec, F3Net, GramNet, Fully Connected Layer, Sigmoid Activation, Binary Classification, Cross-Validation, Transfer Learning, ImageNet-1k, MidJourney, Stable Diffusion V1.4, Stable Diffusion V1.5, ADM, GLIDE, Wukong, VQDM, BigGAN</t>
  </si>
  <si>
    <t>PRNU Feature Extraction, Wavelet Decomposition, Wiener Filtering, Fast Fourier Transform (FFT), Inverse FFT, Data Augmentation, resnet50, Convolutional Neural Networks (CNNs), Global Texture Analysis, Frequency Artifact Detectio, CNNspot,fredect,fusing,gramnet,dire-g,univfd,DWT,IDWT,Wiener filtering, FFT, Data augmentation,IMLE,ProGAN,StyleGAN,BigGAN,StarGAN,VQDM (Vector Quantized Diffusion Model),ADM (Diffusion),DALL-E 2,LDM (Latent Diffusion Models),Glide,Midjourney</t>
  </si>
  <si>
    <t>CycleGAN</t>
  </si>
  <si>
    <t>Rótulos de Linha</t>
  </si>
  <si>
    <t>CLIP (Contrastive Language-Image Pretraining), Vision Transformer (ViT), Convolutional Neural Networks (CNNs), ResNet50, ConvNeXt Tiny, EVA-CLIP, ataques adversariais (l2-PGD, DI2-FGSM, RWA, UA), análise de domínio da frequência</t>
  </si>
  <si>
    <t>Gradient Magnitude (GM), Gradient Dirction (GD) = CNN baseadas em Gradientes, Sobel Operator, Scharr Operator, GM-Net, GD-Net, Gradient Fusion Net (GF-Net), Dual-Channel-Gradient Net (DCG-Net), Convolutional Neural Networks (CNNs), Shallow CNN com quatro blocos convolucionais, Batch Normalization, Max Pooling, ReLU, Flatten, Fully Connected Layer, Sigmoid Activation, Adamax Optimizer, StyleGAN</t>
  </si>
  <si>
    <t>Análise de gradiente de cor, Gradient-domain Local Dirctional Number (GLDN), Multi-GLDN histogram (MGLH), classificador Ensemble,High-Pass Filters ( Sobel), DCT (mencionado como uma técnica para transformar imagens para o domínio da frequência em outros trabalhos, mas o foco aqui é no gradiente de cor).</t>
  </si>
  <si>
    <t>Acurácia(ACC), Precisão Média (AP), Velocidade de Detecção (FPS)</t>
  </si>
  <si>
    <t>Acurácia(ACC), Acurácia Balanceada (BA), Precisão Média (AP), Área sob a Curva ROC (AUC).</t>
  </si>
  <si>
    <t>Dall</t>
  </si>
  <si>
    <t>Song, Shien and Yang, Jie and Chen, Jin and Qi, Han and Xue, Yifei and Lao, Yizhen and Yu, Yi</t>
  </si>
  <si>
    <t>N Herur, Aryan and Santhosh, Vaibhav and Shetty, Nishanth and Seelamantula, Chandra Sekhar</t>
  </si>
  <si>
    <t>Hossain, Md. Zahid and Uz Zaman, Farhad and Islam, Md. Rakibul</t>
  </si>
  <si>
    <t>Xi, Ziyi and Huang, Wenmin and Wei, Kangkang and Luo, Weiqi and Zheng, Peijia</t>
  </si>
  <si>
    <t>Rahman, Md Awsafur and Paul, Bishmoy and Sarker, Najibul Haque and Hakim, Zaber Ibn Abdul and Fattah, Shaikh Anowarul</t>
  </si>
  <si>
    <t>Sinitsa, Sergey and Fried, Ohad</t>
  </si>
  <si>
    <t>Wang, Zhendong and Bao, Jianmin and Zhou, Wengang and Wang, Weilun and Hu, Hezhen and Chen, Hong and Li, Houqiang</t>
  </si>
  <si>
    <t>Weir, Stuart and Khan, Muhammad Shahbaz and Moradpoor, Naghmeh and Ahmad, Jawad}</t>
  </si>
  <si>
    <t>De Rosa, Vincenzo and Guillaro, Fabrizio and Poggi, Giovanni and Cozzolino, Davide and Verdoliva, Luisa</t>
  </si>
  <si>
    <t>Xu, Juncong and Yang, Yang and Fang, Han and Liu, Honggu and Zhang, Weiming</t>
  </si>
  <si>
    <t>Liu, Huan and Tan, Zichang and Tan, Chuangchuang and Wei, Yunchao and Wang, Jingdong and Zhao, Yao</t>
  </si>
  <si>
    <t>Wang, Huaming and Fei, Jianwei and Dai, Yunshu and Leng, Lingyun and Xia, Zhihua</t>
  </si>
  <si>
    <t>Li, Ouxiang and Cai, Jiayin and Hao, Yanbin and Jiang, Xiaolong and Hu, Yao and Feng, Fuli</t>
  </si>
  <si>
    <t>Dogoulis, Pantelis and Kordopatis-Zilos, Giorgos and Kompatsiaris, Ioannis and Papadopoulos, Symeon</t>
  </si>
  <si>
    <t>Luo, Yunpeng and Du, Junlong and Yan, Ke and Ding, Shouhong</t>
  </si>
  <si>
    <t>Guan, Weinan and Wang, Wei and Peng, Bo and He, Ziwen and Dong, Jing and Cheng, Haonan</t>
  </si>
  <si>
    <t>Park, Daeeol and Na, Hyunsik and Choi, Daeseon</t>
  </si>
  <si>
    <t>Cozzolino, Davide and Poggi, Giovanni and Corvi, Riccardo and Nießner, Matthias and Verdoliva, Luisa</t>
  </si>
  <si>
    <t>Gye, Seoyeon and Ko, Junwon and Shon, Hyounguk and Kwon, Minchan and Kim, Junmo</t>
  </si>
  <si>
    <t>Yu, Xiao and Chen, Kejiang and Zeng, Kai and Fang, Han and Yang, Zijin and Shang, Xiuwei and Qi, Yuang and Zhang, Weiming and Yu, Nenghai</t>
  </si>
  <si>
    <t>Schinas, Manos and Papadopoulos, Symeon</t>
  </si>
  <si>
    <t>Cozzolino, Davide and Nagano, Koki and Thomaz, Lucas and Majumdar, Angshul and Verdoliva, Luisa</t>
  </si>
  <si>
    <t>Konstantinidou, Despina and Koutlis, Christos and Papadopoulos, Symeon</t>
  </si>
  <si>
    <t>Gangan, Manjary P. and Kadan, Anoop and V. L., Lajish</t>
  </si>
  <si>
    <t>Chen, Hau-Ching and Shen, Yu-Pin and Yeh, Yi-Hung and Chen, Jiann-Liang</t>
  </si>
  <si>
    <t>Lyu, Zihang and Xiao, Jun and Zhang, Cong and Lam, Kin-Man</t>
  </si>
  <si>
    <t>Xue, Yijie and Ji, Lixin and Li, Shaomei</t>
  </si>
  <si>
    <t>Jagadish, Tarun and Graceline Jasmine, S</t>
  </si>
  <si>
    <t>Rout, Jayanti and Mishra, Minati</t>
  </si>
  <si>
    <t>Lin, Mingqian and Shang, Lin and Gao, Xiaoying</t>
  </si>
  <si>
    <t>Javaheri, Alireza Hajabdollah and Motamednia, Hossein and Mahmoudi-Azanveh, Ahmad</t>
  </si>
  <si>
    <t>Zhang, Mingxu and Wang, Hongxia and He, Peisong and Malik, Asad and Liu, Hanqing</t>
  </si>
  <si>
    <t>Ghosh, Tanusree and Naskar, Ruchira</t>
  </si>
  <si>
    <t>S, Sychandran C and R, Shreelekshmi</t>
  </si>
  <si>
    <t>Wu, Kaifeng and Li, Xiaolong</t>
  </si>
  <si>
    <t>Gupta, Achal Shankar and Shreneter, Krishan Pratap and Sehgal, Smriti</t>
  </si>
  <si>
    <t>Zheling Meng and Bo Peng and Jing Dong and Tieniu Tan and Haonan Cheng</t>
  </si>
  <si>
    <t>Dengtai Tan and Chengyu Niu and Yang Yang and Deyi Yang and Boao Tan</t>
  </si>
  <si>
    <t>Haewon Byeon and Mohammad Shabaz and Kapil Shrivastava and Anjali Joshi and Ismail Keshta and Rajvardhan Oak and Pavitar Parkash Singh and Mukesh Soni</t>
  </si>
  <si>
    <t>Yun Liu and Zuliang Wan and Xiaohua Yin and Guanghui Yue and Aiping Tan and Zhi Zheng</t>
  </si>
  <si>
    <t>Patrick P.K. Chan and Chuanxin Zhang and Haitao Chen and Jingwen Deng and Xiao Meng and Daniel S. Yeung</t>
  </si>
  <si>
    <t>Surbhi Raj and Jimson Mathew and Arijit Mondal</t>
  </si>
  <si>
    <t>Qiang Xu and Shan Jia and Xinghao Jiang and Tanfeng Sun and Zhe Wang and Hong Yan</t>
  </si>
  <si>
    <t>Yonghyun Jeong and Doyeon Kim and Pyounggeon Kim and Youngmin Ro and Jongwon Choi</t>
  </si>
  <si>
    <t>Autores</t>
  </si>
  <si>
    <t>Artifact: A Large-Scale Dataset With Artificial And Factual Images For Generalizable And Robust Synthetic Image Detection</t>
  </si>
  <si>
    <t>O artigo investiga a eficácia do modelo CLIP Vision Transformer (ViT) na detecção de imagens geradas por IA, com foco na capacidade de generalização baseada em características semânticas, em oposição à detecção de padrões específicos de datasets. O trabalho propõe uma abordagem de validação cruzada em que o modelo é treinado em imagens geradas por um modelo específico e testado em imagens provenientes de outros geradores, com o objetivo de simular cenários reais onde o detector encontra imagens sintéticas nunca vistas. A principal hipótese é que, ao extrair significados semânticos em vez de artefatos de baixo nível, o CLIP ViT consegue detectar falsificações com maior robustez e generalização.públic</t>
  </si>
  <si>
    <t>Comparação entre arquiteturas e interpretabilidade: O estudo revela que modelos CNN ainda superam Transformers como o ViT em imagens de baixa resolução, destacando que a escolha da arquitetura deve considerar o contexto do dataset. Além disso, o uso de Explainable AI (Grad-CAM) traz transparência ao processo decisório, uma necessidade crescente em aplicações críticas como jornalismo e segurança.</t>
  </si>
  <si>
    <t>O modelo CLIP ViT obteve desempenho superior na maioria dos cenários de validação cruzada, com acurácia média de 72.9%, superando outros detectores como ResNet-50 (66.9%), Swin-T (70.3%), DeiT-S (67.6%) e detectores baseados em características de frequência como CNNSpot, Spec, F3Net e GramNet. O CLIP ViT demonstrou maior generalização em imagens geradas por modelos não vistos durante o treinamento, comportamento oposto ao ResNet-50, que obteve desempenho significativamente inferior em datasets distintos do treinamento. Por exemplo, ao ser treinado com imagens do modelo ADM, o CLIP ViT obteve 87.8% de acurácia ao testar em imagens do GLIDE, enquanto o ResNet-50 atingiu apenas 56.0%. Além disso, o CLIP ViT mostrou desempenho estável mesmo diante da diversidade semântica e estrutural dos geradores testados.</t>
  </si>
  <si>
    <t>O modelo apresentou desempenho inferior ao lidar com imagens geradas por variantes de Stable Diffusion (V1.4, V1.5, Wukong), indicando que geradores da mesma arquitetura podem confundir os padrões semânticos captados pelo CLIP ViT. Os autores reconhecem que o estudo não fornece evidência direta da extração de características semânticas (como mapas de atenção ou visualizações de tokens), sendo essa uma limitação para a comprovação empírica da hipótese. Além disso, o modelo foi treinado por apenas uma época (epoch), o que pode ter restringido o desempenho total.</t>
  </si>
  <si>
    <t>A principal dificuldade abordada é a falta de generalização dos modelos tradicionais de detecção de imagens falsas, que tendem a identificar artefatos específicos de um dataset ou gerador. Em um cenário onde novos modelos de geração de imagens surgem continuamente, a capacidade de detectar imagens sintéticas sem depender de padrões conhecidos é essencial. Outro desafio citado é o baixo desempenho humano na detecção de imagens falsas (em média 60%), exigindo soluções computacionais mais robustas.</t>
  </si>
  <si>
    <t>Com o objetivo de aprimorar a detecção de imagens geradas por IA em cenários de domínio cruzado, este trabalho introduz a Artifact Purification Network (APN), uma arquitetura composta por dois ramos especializados: um baseado em Swin-Transformer para captar características espaciais e outro baseado em ResNet-18 para o domínio de frequência. A proposta se destaca por combinar uma purificação explícita — via extração seletiva de bandas de frequência suspeitas e decomposição de características espaciais — com uma purificação implícita baseada em estimação de informação mútua durante o treinamento. Avaliada nos datasets GenImage e DiffusionForensics, a APN obteve acurácia média entre 5.6% e 16.4% superior a 11 métodos comparados em detecção entre geradores distintos, e até 50.1% superior em domínios de cena distintos. Uma das principais contribuições do artigo é demonstrar que a purificação de artefatos pode isolar sinais universais de manipulação, tornando o detector mais robusto em contextos onde o gerador ou a cena não foram vistos previamente. Os autores sugerem, como continuidade, o uso de meta-learning e técnicas de proposal dropout para otimizar ainda mais a rede. O trabalho reforça a importância de desenvolver ferramentas generalizáveis e explicáveis frente ao avanço de tecnologias generativas que apresentam riscos reais à integridade da informação digital e à privacidade individual.</t>
  </si>
  <si>
    <t>Adaptação de representações e robustez cross-modelo: FatFormer adapta o backbone CLIP com módulos específicos para captar traços de falsificação no domínio da imagem e da frequência, alcançando excelente desempenho mesmo em dados de GANs e Diffusion não vistos. A estratégia de alinhamento contrastivo com linguagem amplia a capacidade de generalização, e o método se mostra robusto a degradações como JPEG, blur e ruído, simulando com fidelidade os desafios de plataformas sociais.</t>
  </si>
  <si>
    <t>Propõe o uso do modelo de visão-linguagem CLIP, pré-treinado com alinhamento imagem-texto, como base para a construção de detectores universais de imagens geradas por IA. A abordagem foca na generalização para dados fora de distribuição (OOD) e na robustez frente a pós-processamentos comuns em redes sociais, como compressão JPEG, redimensionamento e recorte. Utilizando apenas 10 mil imagens de referência, os autores mostram que CLIP, combinado com classificadores simples como SVM linear, supera métodos tradicionais como LGrad, DIRE, PatchForensics e UniversalFakeDetect, alcançando aumentos de até 6% na AUC e 13% em robustez. Além disso, a fusão de CLIP com detectores forenses clássicos resultou em melhorias adicionais de desempenho. O trabalho também discute o potencial do uso de CLIP para métodos few-shot, que se adaptam rapidamente a novos tipos de geradores sem a necessidade de re-treinamento extensivo. Apesar de não listar limitações explícitas, os autores indicam como direções futuras o aprofundamento em interpretabilidade e a identificação precisa de quais atributos forenses são capturados pela arquitetura CLIP. O artigo destaca o risco crescente da disseminação de desinformação baseada em imagens sintéticas hiper-realistas, reforçando a importância de métodos escaláveis, leves e generalizáveis para a verificação da autenticidade visual em larga escala.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</si>
</sst>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sz val="11"/>
      <name val="Calibri"/>
      <family val="2"/>
      <scheme val="minor"/>
    </font>
    <font>
      <b/>
      <sz val="11"/>
      <color theme="1"/>
      <name val="Calibri"/>
      <family val="2"/>
      <scheme val="minor"/>
    </font>
    <font>
      <sz val="11"/>
      <color rgb="FF000000"/>
      <name val="Calibri"/>
      <family val="2"/>
      <scheme val="minor"/>
    </font>
    <font>
      <b/>
      <sz val="11"/>
      <name val="Calibri"/>
      <family val="2"/>
      <scheme val="minor"/>
    </font>
    <font>
      <u/>
      <sz val="11"/>
      <name val="Calibri"/>
      <family val="2"/>
      <scheme val="minor"/>
    </font>
    <font>
      <b/>
      <sz val="11"/>
      <name val="Calibri"/>
      <family val="2"/>
    </font>
    <font>
      <sz val="8"/>
      <name val="Calibri"/>
      <family val="2"/>
      <scheme val="minor"/>
    </font>
  </fonts>
  <fills count="13">
    <fill>
      <patternFill patternType="none"/>
    </fill>
    <fill>
      <patternFill patternType="gray125"/>
    </fill>
    <fill>
      <patternFill patternType="solid">
        <fgColor theme="6" tint="0.79998168889431442"/>
        <bgColor theme="6" tint="0.79998168889431442"/>
      </patternFill>
    </fill>
    <fill>
      <patternFill patternType="solid">
        <fgColor theme="6" tint="0.79998168889431442"/>
        <bgColor indexed="64"/>
      </patternFill>
    </fill>
    <fill>
      <patternFill patternType="solid">
        <fgColor theme="6"/>
        <bgColor indexed="64"/>
      </patternFill>
    </fill>
    <fill>
      <patternFill patternType="solid">
        <fgColor theme="4"/>
        <bgColor indexed="64"/>
      </patternFill>
    </fill>
    <fill>
      <patternFill patternType="solid">
        <fgColor theme="6"/>
        <bgColor theme="6" tint="0.79998168889431442"/>
      </patternFill>
    </fill>
    <fill>
      <patternFill patternType="solid">
        <fgColor theme="7"/>
        <bgColor indexed="64"/>
      </patternFill>
    </fill>
    <fill>
      <patternFill patternType="solid">
        <fgColor theme="7"/>
        <bgColor theme="7" tint="0.79998168889431442"/>
      </patternFill>
    </fill>
    <fill>
      <patternFill patternType="solid">
        <fgColor theme="9"/>
        <bgColor indexed="64"/>
      </patternFill>
    </fill>
    <fill>
      <patternFill patternType="solid">
        <fgColor theme="9"/>
        <bgColor theme="9" tint="0.79998168889431442"/>
      </patternFill>
    </fill>
    <fill>
      <patternFill patternType="solid">
        <fgColor theme="2"/>
        <bgColor indexed="64"/>
      </patternFill>
    </fill>
    <fill>
      <patternFill patternType="solid">
        <fgColor theme="2"/>
        <bgColor theme="0" tint="-0.14999847407452621"/>
      </patternFill>
    </fill>
  </fills>
  <borders count="8">
    <border>
      <left/>
      <right/>
      <top/>
      <bottom/>
      <diagonal/>
    </border>
    <border>
      <left style="thin">
        <color auto="1"/>
      </left>
      <right style="thin">
        <color auto="1"/>
      </right>
      <top style="thin">
        <color auto="1"/>
      </top>
      <bottom style="thin">
        <color auto="1"/>
      </bottom>
      <diagonal/>
    </border>
    <border>
      <left/>
      <right/>
      <top style="thin">
        <color theme="7"/>
      </top>
      <bottom/>
      <diagonal/>
    </border>
    <border>
      <left/>
      <right/>
      <top style="thin">
        <color theme="6"/>
      </top>
      <bottom style="thin">
        <color theme="6"/>
      </bottom>
      <diagonal/>
    </border>
    <border>
      <left/>
      <right/>
      <top/>
      <bottom style="thin">
        <color theme="1"/>
      </bottom>
      <diagonal/>
    </border>
    <border>
      <left/>
      <right/>
      <top/>
      <bottom style="thin">
        <color theme="7"/>
      </bottom>
      <diagonal/>
    </border>
    <border>
      <left/>
      <right/>
      <top/>
      <bottom style="thin">
        <color theme="9"/>
      </bottom>
      <diagonal/>
    </border>
    <border>
      <left/>
      <right/>
      <top/>
      <bottom style="thin">
        <color theme="6"/>
      </bottom>
      <diagonal/>
    </border>
  </borders>
  <cellStyleXfs count="1">
    <xf numFmtId="0" fontId="0" fillId="0" borderId="0"/>
  </cellStyleXfs>
  <cellXfs count="37">
    <xf numFmtId="0" fontId="0" fillId="0" borderId="0" xfId="0"/>
    <xf numFmtId="0" fontId="0" fillId="0" borderId="0" xfId="0" applyAlignment="1">
      <alignment horizontal="left"/>
    </xf>
    <xf numFmtId="0" fontId="2" fillId="0" borderId="0" xfId="0" applyFont="1"/>
    <xf numFmtId="1" fontId="2" fillId="0" borderId="0" xfId="0" applyNumberFormat="1" applyFont="1"/>
    <xf numFmtId="0" fontId="5" fillId="0" borderId="0" xfId="0" applyFont="1" applyAlignment="1">
      <alignment horizontal="center" vertical="center" wrapText="1"/>
    </xf>
    <xf numFmtId="0" fontId="2" fillId="0" borderId="2" xfId="0" applyFont="1" applyBorder="1"/>
    <xf numFmtId="0" fontId="2" fillId="0" borderId="0" xfId="0" applyFont="1" applyAlignment="1">
      <alignment vertical="center" wrapText="1"/>
    </xf>
    <xf numFmtId="0" fontId="2" fillId="2" borderId="0" xfId="0" applyFont="1" applyFill="1"/>
    <xf numFmtId="0" fontId="0" fillId="0" borderId="0" xfId="0" applyAlignment="1">
      <alignment horizontal="left" vertical="top"/>
    </xf>
    <xf numFmtId="0" fontId="2" fillId="3" borderId="0" xfId="0" applyFont="1" applyFill="1"/>
    <xf numFmtId="0" fontId="1" fillId="0" borderId="1" xfId="0" applyFont="1" applyBorder="1" applyAlignment="1">
      <alignment horizontal="left" vertical="top"/>
    </xf>
    <xf numFmtId="0" fontId="7" fillId="0" borderId="1" xfId="0" applyFont="1" applyBorder="1" applyAlignment="1">
      <alignment horizontal="left" vertical="top"/>
    </xf>
    <xf numFmtId="0" fontId="3" fillId="0" borderId="0" xfId="0" applyFont="1" applyAlignment="1">
      <alignment horizontal="left" vertical="top"/>
    </xf>
    <xf numFmtId="0" fontId="0" fillId="0" borderId="0" xfId="0" applyAlignment="1">
      <alignment horizontal="right"/>
    </xf>
    <xf numFmtId="0" fontId="0" fillId="0" borderId="0" xfId="0" pivotButton="1"/>
    <xf numFmtId="0" fontId="2" fillId="5" borderId="0" xfId="0" applyFont="1" applyFill="1"/>
    <xf numFmtId="0" fontId="5" fillId="4" borderId="3" xfId="0" applyFont="1" applyFill="1" applyBorder="1"/>
    <xf numFmtId="0" fontId="5" fillId="4" borderId="7" xfId="0" applyFont="1" applyFill="1" applyBorder="1"/>
    <xf numFmtId="0" fontId="2" fillId="4" borderId="0" xfId="0" applyFont="1" applyFill="1"/>
    <xf numFmtId="0" fontId="2" fillId="6" borderId="0" xfId="0" applyFont="1" applyFill="1"/>
    <xf numFmtId="0" fontId="2" fillId="7" borderId="0" xfId="0" applyFont="1" applyFill="1"/>
    <xf numFmtId="1" fontId="2" fillId="8" borderId="0" xfId="0" applyNumberFormat="1" applyFont="1" applyFill="1"/>
    <xf numFmtId="0" fontId="2" fillId="8" borderId="0" xfId="0" applyFont="1" applyFill="1"/>
    <xf numFmtId="0" fontId="2" fillId="7" borderId="5" xfId="0" applyFont="1" applyFill="1" applyBorder="1"/>
    <xf numFmtId="1" fontId="2" fillId="7" borderId="5" xfId="0" applyNumberFormat="1" applyFont="1" applyFill="1" applyBorder="1"/>
    <xf numFmtId="0" fontId="5" fillId="9" borderId="6" xfId="0" applyFont="1" applyFill="1" applyBorder="1"/>
    <xf numFmtId="1" fontId="5" fillId="9" borderId="6" xfId="0" applyNumberFormat="1" applyFont="1" applyFill="1" applyBorder="1"/>
    <xf numFmtId="0" fontId="2" fillId="10" borderId="0" xfId="0" applyFont="1" applyFill="1"/>
    <xf numFmtId="1" fontId="2" fillId="10" borderId="0" xfId="0" applyNumberFormat="1" applyFont="1" applyFill="1"/>
    <xf numFmtId="0" fontId="2" fillId="9" borderId="0" xfId="0" applyFont="1" applyFill="1"/>
    <xf numFmtId="1" fontId="2" fillId="9" borderId="0" xfId="0" applyNumberFormat="1" applyFont="1" applyFill="1"/>
    <xf numFmtId="0" fontId="6" fillId="10" borderId="0" xfId="0" applyFont="1" applyFill="1"/>
    <xf numFmtId="0" fontId="0" fillId="9" borderId="0" xfId="0" applyFill="1"/>
    <xf numFmtId="0" fontId="5" fillId="11" borderId="4" xfId="0" applyFont="1" applyFill="1" applyBorder="1"/>
    <xf numFmtId="0" fontId="0" fillId="12" borderId="0" xfId="0" applyFill="1"/>
    <xf numFmtId="0" fontId="0" fillId="11" borderId="0" xfId="0" applyFill="1"/>
    <xf numFmtId="0" fontId="4" fillId="12" borderId="0" xfId="0" applyFont="1" applyFill="1"/>
  </cellXfs>
  <cellStyles count="1">
    <cellStyle name="Normal" xfId="0" builtinId="0"/>
  </cellStyles>
  <dxfs count="37">
    <dxf>
      <fill>
        <patternFill patternType="solid">
          <fgColor theme="0" tint="-0.14999847407452621"/>
          <bgColor theme="2"/>
        </patternFill>
      </fill>
    </dxf>
    <dxf>
      <fill>
        <patternFill>
          <bgColor theme="2"/>
        </patternFill>
      </fill>
    </dxf>
    <dxf>
      <fill>
        <patternFill>
          <bgColor theme="2"/>
        </patternFill>
      </fill>
    </dxf>
    <dxf>
      <border outline="0">
        <top style="thin">
          <color theme="1"/>
        </top>
      </border>
    </dxf>
    <dxf>
      <fill>
        <patternFill>
          <bgColor theme="2"/>
        </patternFill>
      </fill>
    </dxf>
    <dxf>
      <border outline="0">
        <bottom style="thin">
          <color theme="1"/>
        </bottom>
      </border>
    </dxf>
    <dxf>
      <font>
        <b/>
        <i val="0"/>
        <strike val="0"/>
        <condense val="0"/>
        <extend val="0"/>
        <outline val="0"/>
        <shadow val="0"/>
        <u val="none"/>
        <vertAlign val="baseline"/>
        <sz val="11"/>
        <color auto="1"/>
        <name val="Calibri"/>
        <family val="2"/>
        <scheme val="minor"/>
      </font>
      <fill>
        <patternFill>
          <bgColor theme="2"/>
        </patternFill>
      </fill>
    </dxf>
    <dxf>
      <font>
        <b val="0"/>
        <i val="0"/>
        <strike val="0"/>
        <condense val="0"/>
        <extend val="0"/>
        <outline val="0"/>
        <shadow val="0"/>
        <u val="none"/>
        <vertAlign val="baseline"/>
        <sz val="11"/>
        <color auto="1"/>
        <name val="Calibri"/>
        <family val="2"/>
        <scheme val="minor"/>
      </font>
      <numFmt numFmtId="1" formatCode="0"/>
      <fill>
        <patternFill>
          <bgColor theme="9"/>
        </patternFill>
      </fill>
    </dxf>
    <dxf>
      <fill>
        <patternFill>
          <bgColor theme="9"/>
        </patternFill>
      </fill>
    </dxf>
    <dxf>
      <border outline="0">
        <top style="thin">
          <color theme="9"/>
        </top>
      </border>
    </dxf>
    <dxf>
      <fill>
        <patternFill>
          <bgColor theme="9"/>
        </patternFill>
      </fill>
    </dxf>
    <dxf>
      <border outline="0">
        <bottom style="thin">
          <color theme="9"/>
        </bottom>
      </border>
    </dxf>
    <dxf>
      <fill>
        <patternFill>
          <bgColor theme="9"/>
        </patternFill>
      </fill>
    </dxf>
    <dxf>
      <font>
        <b val="0"/>
        <i val="0"/>
        <strike val="0"/>
        <condense val="0"/>
        <extend val="0"/>
        <outline val="0"/>
        <shadow val="0"/>
        <u val="none"/>
        <vertAlign val="baseline"/>
        <sz val="11"/>
        <color auto="1"/>
        <name val="Calibri"/>
        <family val="2"/>
        <scheme val="minor"/>
      </font>
      <numFmt numFmtId="1" formatCode="0"/>
      <fill>
        <patternFill patternType="solid">
          <fgColor theme="7" tint="0.79998168889431442"/>
          <bgColor theme="7"/>
        </patternFill>
      </fill>
    </dxf>
    <dxf>
      <font>
        <b val="0"/>
        <i val="0"/>
        <strike val="0"/>
        <condense val="0"/>
        <extend val="0"/>
        <outline val="0"/>
        <shadow val="0"/>
        <u val="none"/>
        <vertAlign val="baseline"/>
        <sz val="11"/>
        <color auto="1"/>
        <name val="Calibri"/>
        <family val="2"/>
        <scheme val="minor"/>
      </font>
      <fill>
        <patternFill>
          <bgColor theme="7"/>
        </patternFill>
      </fill>
    </dxf>
    <dxf>
      <font>
        <b val="0"/>
        <i val="0"/>
        <strike val="0"/>
        <condense val="0"/>
        <extend val="0"/>
        <outline val="0"/>
        <shadow val="0"/>
        <u val="none"/>
        <vertAlign val="baseline"/>
        <sz val="11"/>
        <color auto="1"/>
        <name val="Calibri"/>
        <family val="2"/>
        <scheme val="minor"/>
      </font>
      <fill>
        <patternFill>
          <bgColor theme="7"/>
        </patternFill>
      </fill>
    </dxf>
    <dxf>
      <font>
        <b val="0"/>
        <i val="0"/>
        <strike val="0"/>
        <condense val="0"/>
        <extend val="0"/>
        <outline val="0"/>
        <shadow val="0"/>
        <u val="none"/>
        <vertAlign val="baseline"/>
        <sz val="11"/>
        <color auto="1"/>
        <name val="Calibri"/>
        <family val="2"/>
        <scheme val="minor"/>
      </font>
      <fill>
        <patternFill>
          <bgColor theme="7"/>
        </patternFill>
      </fill>
    </dxf>
    <dxf>
      <border outline="0">
        <top style="thin">
          <color theme="7"/>
        </top>
      </border>
    </dxf>
    <dxf>
      <font>
        <b val="0"/>
        <i val="0"/>
        <strike val="0"/>
        <condense val="0"/>
        <extend val="0"/>
        <outline val="0"/>
        <shadow val="0"/>
        <u val="none"/>
        <vertAlign val="baseline"/>
        <sz val="11"/>
        <color auto="1"/>
        <name val="Calibri"/>
        <family val="2"/>
        <scheme val="minor"/>
      </font>
      <fill>
        <patternFill>
          <bgColor theme="7"/>
        </patternFill>
      </fill>
    </dxf>
    <dxf>
      <border outline="0">
        <bottom style="thin">
          <color theme="7"/>
        </bottom>
      </border>
    </dxf>
    <dxf>
      <font>
        <b val="0"/>
        <i val="0"/>
        <strike val="0"/>
        <condense val="0"/>
        <extend val="0"/>
        <outline val="0"/>
        <shadow val="0"/>
        <u val="none"/>
        <vertAlign val="baseline"/>
        <sz val="11"/>
        <color auto="1"/>
        <name val="Calibri"/>
        <family val="2"/>
        <scheme val="minor"/>
      </font>
      <fill>
        <patternFill>
          <bgColor theme="7"/>
        </patternFill>
      </fill>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patternFill>
      </fill>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patternFill>
      </fill>
    </dxf>
    <dxf>
      <font>
        <b val="0"/>
        <i val="0"/>
        <strike val="0"/>
        <condense val="0"/>
        <extend val="0"/>
        <outline val="0"/>
        <shadow val="0"/>
        <u val="none"/>
        <vertAlign val="baseline"/>
        <sz val="11"/>
        <color auto="1"/>
        <name val="Calibri"/>
        <family val="2"/>
        <scheme val="minor"/>
      </font>
      <fill>
        <patternFill patternType="solid">
          <fgColor indexed="64"/>
          <bgColor theme="6"/>
        </patternFill>
      </fill>
    </dxf>
    <dxf>
      <font>
        <b val="0"/>
        <i val="0"/>
        <strike val="0"/>
        <condense val="0"/>
        <extend val="0"/>
        <outline val="0"/>
        <shadow val="0"/>
        <u val="none"/>
        <vertAlign val="baseline"/>
        <sz val="11"/>
        <color auto="1"/>
        <name val="Calibri"/>
        <family val="2"/>
        <scheme val="minor"/>
      </font>
      <fill>
        <patternFill patternType="solid">
          <bgColor theme="6"/>
        </patternFill>
      </fill>
    </dxf>
    <dxf>
      <font>
        <b val="0"/>
        <i val="0"/>
        <strike val="0"/>
        <condense val="0"/>
        <extend val="0"/>
        <outline val="0"/>
        <shadow val="0"/>
        <u val="none"/>
        <vertAlign val="baseline"/>
        <sz val="11"/>
        <color auto="1"/>
        <name val="Calibri"/>
        <family val="2"/>
        <scheme val="minor"/>
      </font>
      <fill>
        <patternFill patternType="solid">
          <fgColor indexed="64"/>
          <bgColor theme="6"/>
        </patternFill>
      </fill>
    </dxf>
    <dxf>
      <font>
        <strike val="0"/>
        <outline val="0"/>
        <shadow val="0"/>
        <u val="none"/>
        <vertAlign val="baseline"/>
        <sz val="11"/>
        <color auto="1"/>
        <name val="Calibri"/>
        <family val="2"/>
        <scheme val="minor"/>
      </font>
      <fill>
        <patternFill patternType="solid">
          <bgColor theme="6"/>
        </patternFill>
      </fill>
    </dxf>
    <dxf>
      <fill>
        <patternFill patternType="solid">
          <bgColor theme="6"/>
        </patternFill>
      </fill>
    </dxf>
    <dxf>
      <border outline="0">
        <top style="thin">
          <color theme="6"/>
        </top>
      </border>
    </dxf>
    <dxf>
      <font>
        <strike val="0"/>
        <outline val="0"/>
        <shadow val="0"/>
        <u val="none"/>
        <vertAlign val="baseline"/>
        <sz val="11"/>
        <color auto="1"/>
        <name val="Calibri"/>
        <family val="2"/>
        <scheme val="minor"/>
      </font>
      <fill>
        <patternFill patternType="solid">
          <bgColor theme="6"/>
        </patternFill>
      </fill>
    </dxf>
    <dxf>
      <border outline="0">
        <bottom style="thin">
          <color theme="6"/>
        </bottom>
      </border>
    </dxf>
    <dxf>
      <font>
        <b/>
        <i val="0"/>
        <strike val="0"/>
        <condense val="0"/>
        <extend val="0"/>
        <outline val="0"/>
        <shadow val="0"/>
        <u val="none"/>
        <vertAlign val="baseline"/>
        <sz val="11"/>
        <color auto="1"/>
        <name val="Calibri"/>
        <family val="2"/>
        <scheme val="minor"/>
      </font>
      <fill>
        <patternFill patternType="solid">
          <fgColor indexed="64"/>
          <bgColor theme="6"/>
        </patternFill>
      </fill>
    </dxf>
    <dxf>
      <font>
        <strike val="0"/>
        <outline val="0"/>
        <shadow val="0"/>
        <u val="none"/>
        <vertAlign val="baseline"/>
        <sz val="11"/>
        <color auto="1"/>
        <name val="Calibri"/>
        <family val="2"/>
        <scheme val="minor"/>
      </font>
      <numFmt numFmtId="0" formatCode="General"/>
      <fill>
        <patternFill patternType="solid">
          <fgColor indexed="64"/>
          <bgColor theme="4"/>
        </patternFill>
      </fill>
    </dxf>
    <dxf>
      <font>
        <strike val="0"/>
        <outline val="0"/>
        <shadow val="0"/>
        <u val="none"/>
        <vertAlign val="baseline"/>
        <sz val="11"/>
        <color auto="1"/>
        <name val="Calibri"/>
        <family val="2"/>
        <scheme val="minor"/>
      </font>
      <fill>
        <patternFill patternType="solid">
          <fgColor indexed="64"/>
          <bgColor theme="4"/>
        </patternFill>
      </fill>
    </dxf>
    <dxf>
      <font>
        <strike val="0"/>
        <outline val="0"/>
        <shadow val="0"/>
        <u val="none"/>
        <vertAlign val="baseline"/>
        <sz val="11"/>
        <color auto="1"/>
        <name val="Calibri"/>
        <family val="2"/>
        <scheme val="minor"/>
      </font>
      <fill>
        <patternFill patternType="solid">
          <fgColor indexed="64"/>
          <bgColor theme="4"/>
        </patternFill>
      </fill>
    </dxf>
    <dxf>
      <font>
        <strike val="0"/>
        <outline val="0"/>
        <shadow val="0"/>
        <u val="none"/>
        <vertAlign val="baseline"/>
        <sz val="11"/>
        <color auto="1"/>
        <name val="Calibri"/>
        <family val="2"/>
        <scheme val="minor"/>
      </font>
      <fill>
        <patternFill patternType="solid">
          <fgColor indexed="64"/>
          <bgColor theme="4"/>
        </patternFill>
      </fill>
    </dxf>
    <dxf>
      <fill>
        <patternFill patternType="none">
          <fgColor indexed="64"/>
          <bgColor auto="1"/>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Base!$Q$2</c:f>
              <c:strCache>
                <c:ptCount val="1"/>
                <c:pt idx="0">
                  <c:v>freq</c:v>
                </c:pt>
              </c:strCache>
            </c:strRef>
          </c:tx>
          <c:spPr>
            <a:solidFill>
              <a:schemeClr val="accent1"/>
            </a:solidFill>
            <a:ln>
              <a:noFill/>
            </a:ln>
            <a:effectLst/>
          </c:spPr>
          <c:invertIfNegative val="0"/>
          <c:cat>
            <c:numRef>
              <c:f>Base!$P$3:$P$6</c:f>
              <c:numCache>
                <c:formatCode>General</c:formatCode>
                <c:ptCount val="4"/>
                <c:pt idx="0">
                  <c:v>2022</c:v>
                </c:pt>
                <c:pt idx="1">
                  <c:v>2023</c:v>
                </c:pt>
                <c:pt idx="2">
                  <c:v>2024</c:v>
                </c:pt>
                <c:pt idx="3">
                  <c:v>2025</c:v>
                </c:pt>
              </c:numCache>
            </c:numRef>
          </c:cat>
          <c:val>
            <c:numRef>
              <c:f>Base!$Q$3:$Q$6</c:f>
              <c:numCache>
                <c:formatCode>General</c:formatCode>
                <c:ptCount val="4"/>
                <c:pt idx="0">
                  <c:v>1</c:v>
                </c:pt>
                <c:pt idx="1">
                  <c:v>11</c:v>
                </c:pt>
                <c:pt idx="2">
                  <c:v>22</c:v>
                </c:pt>
                <c:pt idx="3">
                  <c:v>10</c:v>
                </c:pt>
              </c:numCache>
            </c:numRef>
          </c:val>
          <c:extLst>
            <c:ext xmlns:c16="http://schemas.microsoft.com/office/drawing/2014/chart" uri="{C3380CC4-5D6E-409C-BE32-E72D297353CC}">
              <c16:uniqueId val="{00000000-E58F-42E5-AA9A-01983427F8E3}"/>
            </c:ext>
          </c:extLst>
        </c:ser>
        <c:dLbls>
          <c:showLegendKey val="0"/>
          <c:showVal val="0"/>
          <c:showCatName val="0"/>
          <c:showSerName val="0"/>
          <c:showPercent val="0"/>
          <c:showBubbleSize val="0"/>
        </c:dLbls>
        <c:gapWidth val="219"/>
        <c:overlap val="-27"/>
        <c:axId val="2099780560"/>
        <c:axId val="2099781520"/>
      </c:barChart>
      <c:catAx>
        <c:axId val="20997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9781520"/>
        <c:crosses val="autoZero"/>
        <c:auto val="1"/>
        <c:lblAlgn val="ctr"/>
        <c:lblOffset val="100"/>
        <c:noMultiLvlLbl val="0"/>
      </c:catAx>
      <c:valAx>
        <c:axId val="20997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9780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'Arquiteturas Base'!$B$1</c:f>
              <c:strCache>
                <c:ptCount val="1"/>
                <c:pt idx="0">
                  <c:v>Frequência</c:v>
                </c:pt>
              </c:strCache>
            </c:strRef>
          </c:tx>
          <c:spPr>
            <a:solidFill>
              <a:schemeClr val="accent1"/>
            </a:solidFill>
            <a:ln>
              <a:noFill/>
            </a:ln>
            <a:effectLst/>
          </c:spPr>
          <c:invertIfNegative val="0"/>
          <c:cat>
            <c:strRef>
              <c:f>'Arquiteturas Base'!$A$2:$A$14</c:f>
              <c:strCache>
                <c:ptCount val="13"/>
                <c:pt idx="0">
                  <c:v>ResNet</c:v>
                </c:pt>
                <c:pt idx="1">
                  <c:v>transformer</c:v>
                </c:pt>
                <c:pt idx="2">
                  <c:v>CLIP</c:v>
                </c:pt>
                <c:pt idx="3">
                  <c:v>Xception</c:v>
                </c:pt>
                <c:pt idx="4">
                  <c:v>EfficientNet</c:v>
                </c:pt>
                <c:pt idx="5">
                  <c:v>Inception</c:v>
                </c:pt>
                <c:pt idx="6">
                  <c:v>VGG</c:v>
                </c:pt>
                <c:pt idx="7">
                  <c:v>ConvNeXt</c:v>
                </c:pt>
                <c:pt idx="8">
                  <c:v>MobileNet</c:v>
                </c:pt>
                <c:pt idx="9">
                  <c:v>DenseNet</c:v>
                </c:pt>
                <c:pt idx="10">
                  <c:v>GoogLeNet</c:v>
                </c:pt>
                <c:pt idx="11">
                  <c:v>MesoInception</c:v>
                </c:pt>
                <c:pt idx="12">
                  <c:v>Capsule</c:v>
                </c:pt>
              </c:strCache>
            </c:strRef>
          </c:cat>
          <c:val>
            <c:numRef>
              <c:f>'Arquiteturas Base'!$B$2:$B$14</c:f>
              <c:numCache>
                <c:formatCode>General</c:formatCode>
                <c:ptCount val="13"/>
                <c:pt idx="0">
                  <c:v>24</c:v>
                </c:pt>
                <c:pt idx="1">
                  <c:v>15</c:v>
                </c:pt>
                <c:pt idx="2">
                  <c:v>13</c:v>
                </c:pt>
                <c:pt idx="3">
                  <c:v>8</c:v>
                </c:pt>
                <c:pt idx="4">
                  <c:v>8</c:v>
                </c:pt>
                <c:pt idx="5">
                  <c:v>6</c:v>
                </c:pt>
                <c:pt idx="6">
                  <c:v>5</c:v>
                </c:pt>
                <c:pt idx="7">
                  <c:v>4</c:v>
                </c:pt>
                <c:pt idx="8">
                  <c:v>3</c:v>
                </c:pt>
                <c:pt idx="9">
                  <c:v>3</c:v>
                </c:pt>
                <c:pt idx="10">
                  <c:v>2</c:v>
                </c:pt>
                <c:pt idx="11">
                  <c:v>1</c:v>
                </c:pt>
                <c:pt idx="12">
                  <c:v>1</c:v>
                </c:pt>
              </c:numCache>
            </c:numRef>
          </c:val>
          <c:extLst>
            <c:ext xmlns:c16="http://schemas.microsoft.com/office/drawing/2014/chart" uri="{C3380CC4-5D6E-409C-BE32-E72D297353CC}">
              <c16:uniqueId val="{00000000-A2B4-4D08-8789-D0EF125DE3B6}"/>
            </c:ext>
          </c:extLst>
        </c:ser>
        <c:dLbls>
          <c:showLegendKey val="0"/>
          <c:showVal val="0"/>
          <c:showCatName val="0"/>
          <c:showSerName val="0"/>
          <c:showPercent val="0"/>
          <c:showBubbleSize val="0"/>
        </c:dLbls>
        <c:gapWidth val="219"/>
        <c:overlap val="-27"/>
        <c:axId val="1401346624"/>
        <c:axId val="1401344704"/>
      </c:barChart>
      <c:catAx>
        <c:axId val="140134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01344704"/>
        <c:crosses val="autoZero"/>
        <c:auto val="1"/>
        <c:lblAlgn val="ctr"/>
        <c:lblOffset val="100"/>
        <c:noMultiLvlLbl val="0"/>
      </c:catAx>
      <c:valAx>
        <c:axId val="140134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01346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Detectores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'Detectores Específicos'!$C$1</c:f>
              <c:strCache>
                <c:ptCount val="1"/>
                <c:pt idx="0">
                  <c:v>Frequência</c:v>
                </c:pt>
              </c:strCache>
            </c:strRef>
          </c:tx>
          <c:spPr>
            <a:solidFill>
              <a:schemeClr val="accent1"/>
            </a:solidFill>
            <a:ln>
              <a:noFill/>
            </a:ln>
            <a:effectLst/>
          </c:spPr>
          <c:invertIfNegative val="0"/>
          <c:cat>
            <c:strRef>
              <c:f>'Detectores Específicos'!$A$2:$A$10</c:f>
              <c:strCache>
                <c:ptCount val="9"/>
                <c:pt idx="0">
                  <c:v>GramNet</c:v>
                </c:pt>
                <c:pt idx="1">
                  <c:v>UnivFD</c:v>
                </c:pt>
                <c:pt idx="2">
                  <c:v>CNNSpot</c:v>
                </c:pt>
                <c:pt idx="3">
                  <c:v>LGrad</c:v>
                </c:pt>
                <c:pt idx="4">
                  <c:v>DIRE</c:v>
                </c:pt>
                <c:pt idx="5">
                  <c:v>CNNDetect</c:v>
                </c:pt>
                <c:pt idx="6">
                  <c:v>Spec</c:v>
                </c:pt>
                <c:pt idx="7">
                  <c:v>F3Net</c:v>
                </c:pt>
                <c:pt idx="8">
                  <c:v>NPR</c:v>
                </c:pt>
              </c:strCache>
            </c:strRef>
          </c:cat>
          <c:val>
            <c:numRef>
              <c:f>'Detectores Específicos'!$C$2:$C$10</c:f>
              <c:numCache>
                <c:formatCode>General</c:formatCode>
                <c:ptCount val="9"/>
                <c:pt idx="0">
                  <c:v>6</c:v>
                </c:pt>
                <c:pt idx="1">
                  <c:v>5</c:v>
                </c:pt>
                <c:pt idx="2">
                  <c:v>4</c:v>
                </c:pt>
                <c:pt idx="3">
                  <c:v>4</c:v>
                </c:pt>
                <c:pt idx="4">
                  <c:v>4</c:v>
                </c:pt>
                <c:pt idx="5">
                  <c:v>3</c:v>
                </c:pt>
                <c:pt idx="6">
                  <c:v>3</c:v>
                </c:pt>
                <c:pt idx="7">
                  <c:v>3</c:v>
                </c:pt>
                <c:pt idx="8">
                  <c:v>3</c:v>
                </c:pt>
              </c:numCache>
            </c:numRef>
          </c:val>
          <c:extLst>
            <c:ext xmlns:c16="http://schemas.microsoft.com/office/drawing/2014/chart" uri="{C3380CC4-5D6E-409C-BE32-E72D297353CC}">
              <c16:uniqueId val="{00000000-2624-43E5-BD28-19A6D3D8683E}"/>
            </c:ext>
          </c:extLst>
        </c:ser>
        <c:dLbls>
          <c:showLegendKey val="0"/>
          <c:showVal val="0"/>
          <c:showCatName val="0"/>
          <c:showSerName val="0"/>
          <c:showPercent val="0"/>
          <c:showBubbleSize val="0"/>
        </c:dLbls>
        <c:gapWidth val="219"/>
        <c:overlap val="-27"/>
        <c:axId val="1348541856"/>
        <c:axId val="1348544256"/>
      </c:barChart>
      <c:catAx>
        <c:axId val="134854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48544256"/>
        <c:crosses val="autoZero"/>
        <c:auto val="1"/>
        <c:lblAlgn val="ctr"/>
        <c:lblOffset val="100"/>
        <c:noMultiLvlLbl val="0"/>
      </c:catAx>
      <c:valAx>
        <c:axId val="134854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4854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[MatrizDeSintese.xlsx]Detectores Específicos!Tabela dinâmica5</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'Detectores Específicos'!$F$18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06-4471-8D76-37E6860163B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06-4471-8D76-37E6860163B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B06-4471-8D76-37E6860163B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B06-4471-8D76-37E6860163B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B06-4471-8D76-37E6860163B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B06-4471-8D76-37E6860163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'Detectores Específicos'!$E$19:$E$25</c:f>
              <c:strCache>
                <c:ptCount val="6"/>
                <c:pt idx="0">
                  <c:v>"Impressão Digital" do Gerador (Fingerprint)</c:v>
                </c:pt>
                <c:pt idx="1">
                  <c:v>Análise de Domínio da Frequência</c:v>
                </c:pt>
                <c:pt idx="2">
                  <c:v>Arquiteturas Híbridas ou Específicas</c:v>
                </c:pt>
                <c:pt idx="3">
                  <c:v>Erros de Reconstrução ou Anomalia</c:v>
                </c:pt>
                <c:pt idx="4">
                  <c:v>Inconsistências Locais (Patches)</c:v>
                </c:pt>
                <c:pt idx="5">
                  <c:v>Universais e Baseados em Modelos de Fundação</c:v>
                </c:pt>
              </c:strCache>
            </c:strRef>
          </c:cat>
          <c:val>
            <c:numRef>
              <c:f>'Detectores Específicos'!$F$19:$F$25</c:f>
              <c:numCache>
                <c:formatCode>General</c:formatCode>
                <c:ptCount val="6"/>
                <c:pt idx="0">
                  <c:v>12</c:v>
                </c:pt>
                <c:pt idx="1">
                  <c:v>8</c:v>
                </c:pt>
                <c:pt idx="2">
                  <c:v>18</c:v>
                </c:pt>
                <c:pt idx="3">
                  <c:v>8</c:v>
                </c:pt>
                <c:pt idx="4">
                  <c:v>13</c:v>
                </c:pt>
                <c:pt idx="5">
                  <c:v>11</c:v>
                </c:pt>
              </c:numCache>
            </c:numRef>
          </c:val>
          <c:extLst>
            <c:ext xmlns:c16="http://schemas.microsoft.com/office/drawing/2014/chart" uri="{C3380CC4-5D6E-409C-BE32-E72D297353CC}">
              <c16:uniqueId val="{00000000-8C1F-4377-A434-A1D9D0D75F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271697287839016"/>
          <c:y val="1.6722440944881872E-2"/>
          <c:w val="0.31061636045494312"/>
          <c:h val="0.9832775590551181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[MatrizDeSintese.xlsx]Geradores!Tabela dinâmica2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0647912273431663E-2"/>
          <c:y val="0.25865522018081066"/>
          <c:w val="0.41182455824660696"/>
          <c:h val="0.68578922426363376"/>
        </c:manualLayout>
      </c:layout>
      <c:pieChart>
        <c:varyColors val="1"/>
        <c:ser>
          <c:idx val="0"/>
          <c:order val="0"/>
          <c:tx>
            <c:strRef>
              <c:f>Geradores!$F$16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7C-46E0-85BA-C85A2F86B7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7C-46E0-85BA-C85A2F86B7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7C-46E0-85BA-C85A2F86B7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7C-46E0-85BA-C85A2F86B7B6}"/>
              </c:ext>
            </c:extLst>
          </c:dPt>
          <c:cat>
            <c:strRef>
              <c:f>Geradores!$E$17:$E$21</c:f>
              <c:strCache>
                <c:ptCount val="4"/>
                <c:pt idx="0">
                  <c:v>Modelos Baseados em Autoencoders</c:v>
                </c:pt>
                <c:pt idx="1">
                  <c:v>Modelos Baseados em GAN</c:v>
                </c:pt>
                <c:pt idx="2">
                  <c:v>Modelos Comerciais</c:v>
                </c:pt>
                <c:pt idx="3">
                  <c:v>Modelos de Difusão</c:v>
                </c:pt>
              </c:strCache>
            </c:strRef>
          </c:cat>
          <c:val>
            <c:numRef>
              <c:f>Geradores!$F$17:$F$21</c:f>
              <c:numCache>
                <c:formatCode>General</c:formatCode>
                <c:ptCount val="4"/>
                <c:pt idx="0">
                  <c:v>9</c:v>
                </c:pt>
                <c:pt idx="1">
                  <c:v>53</c:v>
                </c:pt>
                <c:pt idx="2">
                  <c:v>16</c:v>
                </c:pt>
                <c:pt idx="3">
                  <c:v>40</c:v>
                </c:pt>
              </c:numCache>
            </c:numRef>
          </c:val>
          <c:extLst>
            <c:ext xmlns:c16="http://schemas.microsoft.com/office/drawing/2014/chart" uri="{C3380CC4-5D6E-409C-BE32-E72D297353CC}">
              <c16:uniqueId val="{00000000-677C-4656-BD6F-C15AA806FB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Geradores!$D$1</c:f>
              <c:strCache>
                <c:ptCount val="1"/>
                <c:pt idx="0">
                  <c:v>Frequência</c:v>
                </c:pt>
              </c:strCache>
            </c:strRef>
          </c:tx>
          <c:spPr>
            <a:solidFill>
              <a:schemeClr val="accent1"/>
            </a:solidFill>
            <a:ln>
              <a:noFill/>
            </a:ln>
            <a:effectLst/>
          </c:spPr>
          <c:invertIfNegative val="0"/>
          <c:cat>
            <c:strRef>
              <c:f>Geradores!$A$2:$A$11</c:f>
              <c:strCache>
                <c:ptCount val="10"/>
                <c:pt idx="0">
                  <c:v>StyleGAN</c:v>
                </c:pt>
                <c:pt idx="1">
                  <c:v>Stable Diffusion</c:v>
                </c:pt>
                <c:pt idx="2">
                  <c:v>ProGAN</c:v>
                </c:pt>
                <c:pt idx="3">
                  <c:v>Denoising Diffusion Probabilistic Models (DDPMs)</c:v>
                </c:pt>
                <c:pt idx="4">
                  <c:v>MidJourney</c:v>
                </c:pt>
                <c:pt idx="5">
                  <c:v>ADM (Diffusion)</c:v>
                </c:pt>
                <c:pt idx="6">
                  <c:v>Latent Diffusion Models (LDMs)</c:v>
                </c:pt>
                <c:pt idx="7">
                  <c:v>StarGAN</c:v>
                </c:pt>
                <c:pt idx="8">
                  <c:v>BigGAN</c:v>
                </c:pt>
                <c:pt idx="9">
                  <c:v>Denoising Diffusion Implicit Models (DDIMs)</c:v>
                </c:pt>
              </c:strCache>
            </c:strRef>
          </c:cat>
          <c:val>
            <c:numRef>
              <c:f>Geradores!$D$2:$D$11</c:f>
              <c:numCache>
                <c:formatCode>0</c:formatCode>
                <c:ptCount val="10"/>
                <c:pt idx="0">
                  <c:v>13</c:v>
                </c:pt>
                <c:pt idx="1">
                  <c:v>10</c:v>
                </c:pt>
                <c:pt idx="2">
                  <c:v>8</c:v>
                </c:pt>
                <c:pt idx="3">
                  <c:v>5</c:v>
                </c:pt>
                <c:pt idx="4">
                  <c:v>5</c:v>
                </c:pt>
                <c:pt idx="5">
                  <c:v>5</c:v>
                </c:pt>
                <c:pt idx="6">
                  <c:v>5</c:v>
                </c:pt>
                <c:pt idx="7">
                  <c:v>5</c:v>
                </c:pt>
                <c:pt idx="8">
                  <c:v>5</c:v>
                </c:pt>
                <c:pt idx="9">
                  <c:v>4</c:v>
                </c:pt>
              </c:numCache>
            </c:numRef>
          </c:val>
          <c:extLst>
            <c:ext xmlns:c16="http://schemas.microsoft.com/office/drawing/2014/chart" uri="{C3380CC4-5D6E-409C-BE32-E72D297353CC}">
              <c16:uniqueId val="{00000000-C1C0-4C54-9EDD-53FD887B02E3}"/>
            </c:ext>
          </c:extLst>
        </c:ser>
        <c:dLbls>
          <c:showLegendKey val="0"/>
          <c:showVal val="0"/>
          <c:showCatName val="0"/>
          <c:showSerName val="0"/>
          <c:showPercent val="0"/>
          <c:showBubbleSize val="0"/>
        </c:dLbls>
        <c:gapWidth val="219"/>
        <c:overlap val="-27"/>
        <c:axId val="2099758960"/>
        <c:axId val="2099755600"/>
      </c:barChart>
      <c:catAx>
        <c:axId val="20997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9755600"/>
        <c:crosses val="autoZero"/>
        <c:auto val="1"/>
        <c:lblAlgn val="ctr"/>
        <c:lblOffset val="100"/>
        <c:noMultiLvlLbl val="0"/>
      </c:catAx>
      <c:valAx>
        <c:axId val="2099755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9758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Datasets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Datasets!$A$2:$A$16</c:f>
              <c:strCache>
                <c:ptCount val="15"/>
                <c:pt idx="0">
                  <c:v>LSUN</c:v>
                </c:pt>
                <c:pt idx="1">
                  <c:v>ImageNet</c:v>
                </c:pt>
                <c:pt idx="2">
                  <c:v>CelebA</c:v>
                </c:pt>
                <c:pt idx="3">
                  <c:v>COCO</c:v>
                </c:pt>
                <c:pt idx="4">
                  <c:v>FFHQ</c:v>
                </c:pt>
                <c:pt idx="5">
                  <c:v>ForenSynths</c:v>
                </c:pt>
                <c:pt idx="6">
                  <c:v>GenImage</c:v>
                </c:pt>
                <c:pt idx="7">
                  <c:v>FaceForensics++</c:v>
                </c:pt>
                <c:pt idx="8">
                  <c:v>DiffusionForensics</c:v>
                </c:pt>
                <c:pt idx="9">
                  <c:v>RAISE</c:v>
                </c:pt>
                <c:pt idx="10">
                  <c:v>LAION</c:v>
                </c:pt>
                <c:pt idx="11">
                  <c:v>DsTok</c:v>
                </c:pt>
                <c:pt idx="12">
                  <c:v>CIFAKE</c:v>
                </c:pt>
                <c:pt idx="13">
                  <c:v>Synthbuster</c:v>
                </c:pt>
                <c:pt idx="14">
                  <c:v>AFHQ</c:v>
                </c:pt>
              </c:strCache>
            </c:strRef>
          </c:cat>
          <c:val>
            <c:numRef>
              <c:f>Datasets!$B$2:$B$16</c:f>
              <c:numCache>
                <c:formatCode>0</c:formatCode>
                <c:ptCount val="15"/>
                <c:pt idx="0">
                  <c:v>19</c:v>
                </c:pt>
                <c:pt idx="1">
                  <c:v>19</c:v>
                </c:pt>
                <c:pt idx="2">
                  <c:v>12</c:v>
                </c:pt>
                <c:pt idx="3">
                  <c:v>10</c:v>
                </c:pt>
                <c:pt idx="4">
                  <c:v>8</c:v>
                </c:pt>
                <c:pt idx="5">
                  <c:v>7</c:v>
                </c:pt>
                <c:pt idx="6">
                  <c:v>7</c:v>
                </c:pt>
                <c:pt idx="7">
                  <c:v>4</c:v>
                </c:pt>
                <c:pt idx="8">
                  <c:v>4</c:v>
                </c:pt>
                <c:pt idx="9">
                  <c:v>3</c:v>
                </c:pt>
                <c:pt idx="10">
                  <c:v>3</c:v>
                </c:pt>
                <c:pt idx="11">
                  <c:v>3</c:v>
                </c:pt>
                <c:pt idx="12">
                  <c:v>3</c:v>
                </c:pt>
                <c:pt idx="13">
                  <c:v>2</c:v>
                </c:pt>
                <c:pt idx="14">
                  <c:v>2</c:v>
                </c:pt>
              </c:numCache>
            </c:numRef>
          </c:val>
          <c:extLst>
            <c:ext xmlns:c16="http://schemas.microsoft.com/office/drawing/2014/chart" uri="{C3380CC4-5D6E-409C-BE32-E72D297353CC}">
              <c16:uniqueId val="{00000000-8F90-4BE5-9FCE-008E05D438C3}"/>
            </c:ext>
          </c:extLst>
        </c:ser>
        <c:dLbls>
          <c:showLegendKey val="0"/>
          <c:showVal val="0"/>
          <c:showCatName val="0"/>
          <c:showSerName val="0"/>
          <c:showPercent val="0"/>
          <c:showBubbleSize val="0"/>
        </c:dLbls>
        <c:gapWidth val="219"/>
        <c:overlap val="-27"/>
        <c:axId val="466166640"/>
        <c:axId val="466167120"/>
      </c:barChart>
      <c:catAx>
        <c:axId val="46616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6167120"/>
        <c:crosses val="autoZero"/>
        <c:auto val="1"/>
        <c:lblAlgn val="ctr"/>
        <c:lblOffset val="100"/>
        <c:noMultiLvlLbl val="0"/>
      </c:catAx>
      <c:valAx>
        <c:axId val="466167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6616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cat>
            <c:strRef>
              <c:f>Métricas!$A$2:$A$11</c:f>
              <c:strCache>
                <c:ptCount val="10"/>
                <c:pt idx="0">
                  <c:v>Acurácia</c:v>
                </c:pt>
                <c:pt idx="1">
                  <c:v>Precisão Média</c:v>
                </c:pt>
                <c:pt idx="2">
                  <c:v>Área sob a Curva ROC</c:v>
                </c:pt>
                <c:pt idx="3">
                  <c:v>Revocação</c:v>
                </c:pt>
                <c:pt idx="4">
                  <c:v>Precisão</c:v>
                </c:pt>
                <c:pt idx="5">
                  <c:v>Pontuação F1</c:v>
                </c:pt>
                <c:pt idx="6">
                  <c:v>Taxa de Verdadeiros Positivos</c:v>
                </c:pt>
                <c:pt idx="7">
                  <c:v>Taxa de Verdadeiros Negativos</c:v>
                </c:pt>
                <c:pt idx="8">
                  <c:v>Acurácia Balanceada</c:v>
                </c:pt>
                <c:pt idx="9">
                  <c:v>Taxa de Falsos Positivos</c:v>
                </c:pt>
              </c:strCache>
            </c:strRef>
          </c:cat>
          <c:val>
            <c:numRef>
              <c:f>Métricas!$C$2:$C$11</c:f>
              <c:numCache>
                <c:formatCode>General</c:formatCode>
                <c:ptCount val="10"/>
                <c:pt idx="0">
                  <c:v>43</c:v>
                </c:pt>
                <c:pt idx="1">
                  <c:v>17</c:v>
                </c:pt>
                <c:pt idx="2">
                  <c:v>13</c:v>
                </c:pt>
                <c:pt idx="3">
                  <c:v>9</c:v>
                </c:pt>
                <c:pt idx="4">
                  <c:v>8</c:v>
                </c:pt>
                <c:pt idx="5">
                  <c:v>6</c:v>
                </c:pt>
                <c:pt idx="6">
                  <c:v>5</c:v>
                </c:pt>
                <c:pt idx="7">
                  <c:v>5</c:v>
                </c:pt>
                <c:pt idx="8">
                  <c:v>3</c:v>
                </c:pt>
                <c:pt idx="9">
                  <c:v>3</c:v>
                </c:pt>
              </c:numCache>
            </c:numRef>
          </c:val>
          <c:extLst>
            <c:ext xmlns:c16="http://schemas.microsoft.com/office/drawing/2014/chart" uri="{C3380CC4-5D6E-409C-BE32-E72D297353CC}">
              <c16:uniqueId val="{00000000-BA63-4AC9-AA37-18F0FEC142E3}"/>
            </c:ext>
          </c:extLst>
        </c:ser>
        <c:dLbls>
          <c:showLegendKey val="0"/>
          <c:showVal val="0"/>
          <c:showCatName val="0"/>
          <c:showSerName val="0"/>
          <c:showPercent val="0"/>
          <c:showBubbleSize val="0"/>
        </c:dLbls>
        <c:gapWidth val="182"/>
        <c:axId val="1475620639"/>
        <c:axId val="1475622079"/>
      </c:barChart>
      <c:catAx>
        <c:axId val="147562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5622079"/>
        <c:crosses val="autoZero"/>
        <c:auto val="1"/>
        <c:lblAlgn val="ctr"/>
        <c:lblOffset val="100"/>
        <c:noMultiLvlLbl val="0"/>
      </c:catAx>
      <c:valAx>
        <c:axId val="1475622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5620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121585</xdr:colOff>
      <xdr:row>8</xdr:row>
      <xdr:rowOff>40178</xdr:rowOff>
    </xdr:from>
    <xdr:to>
      <xdr:col>22</xdr:col>
      <xdr:colOff>391973</xdr:colOff>
      <xdr:row>22</xdr:row>
      <xdr:rowOff>59023</xdr:rowOff>
    </xdr:to>
    <xdr:graphicFrame macro="">
      <xdr:nvGraphicFramePr>
        <xdr:cNvPr id="2" name="Gráfico 1">
          <a:extLst>
            <a:ext uri="{FF2B5EF4-FFF2-40B4-BE49-F238E27FC236}">
              <a16:creationId xmlns:a16="http://schemas.microsoft.com/office/drawing/2014/main" id="{EEC779BB-7C0E-585F-B1AE-497F05C68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101049</xdr:colOff>
      <xdr:row>0</xdr:row>
      <xdr:rowOff>0</xdr:rowOff>
    </xdr:from>
    <xdr:to>
      <xdr:col>9</xdr:col>
      <xdr:colOff>405849</xdr:colOff>
      <xdr:row>14</xdr:row>
      <xdr:rowOff>182217</xdr:rowOff>
    </xdr:to>
    <xdr:graphicFrame macro="">
      <xdr:nvGraphicFramePr>
        <xdr:cNvPr id="3" name="Gráfico 2">
          <a:extLst>
            <a:ext uri="{FF2B5EF4-FFF2-40B4-BE49-F238E27FC236}">
              <a16:creationId xmlns:a16="http://schemas.microsoft.com/office/drawing/2014/main" id="{86BA6AA2-7BE3-C640-F1F9-28CB4782B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2732584</xdr:colOff>
      <xdr:row>0</xdr:row>
      <xdr:rowOff>152448</xdr:rowOff>
    </xdr:from>
    <xdr:to>
      <xdr:col>9</xdr:col>
      <xdr:colOff>289890</xdr:colOff>
      <xdr:row>13</xdr:row>
      <xdr:rowOff>18694</xdr:rowOff>
    </xdr:to>
    <xdr:graphicFrame macro="">
      <xdr:nvGraphicFramePr>
        <xdr:cNvPr id="2" name="Gráfico 1">
          <a:extLst>
            <a:ext uri="{FF2B5EF4-FFF2-40B4-BE49-F238E27FC236}">
              <a16:creationId xmlns:a16="http://schemas.microsoft.com/office/drawing/2014/main" id="{F7C95050-7B0D-43ED-8380-D4C322210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41413</xdr:colOff>
      <xdr:row>25</xdr:row>
      <xdr:rowOff>135834</xdr:rowOff>
    </xdr:from>
    <xdr:to>
      <xdr:col>5</xdr:col>
      <xdr:colOff>753718</xdr:colOff>
      <xdr:row>40</xdr:row>
      <xdr:rowOff>29817</xdr:rowOff>
    </xdr:to>
    <xdr:graphicFrame macro="">
      <xdr:nvGraphicFramePr>
        <xdr:cNvPr id="3" name="Gráfico 2">
          <a:extLst>
            <a:ext uri="{FF2B5EF4-FFF2-40B4-BE49-F238E27FC236}">
              <a16:creationId xmlns:a16="http://schemas.microsoft.com/office/drawing/2014/main" id="{758EBBEA-DE47-DE9E-137B-B36EEF04E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26552</xdr:colOff>
      <xdr:row>0</xdr:row>
      <xdr:rowOff>0</xdr:rowOff>
    </xdr:from>
    <xdr:to>
      <xdr:col>6</xdr:col>
      <xdr:colOff>900611</xdr:colOff>
      <xdr:row>14</xdr:row>
      <xdr:rowOff>76200</xdr:rowOff>
    </xdr:to>
    <xdr:graphicFrame macro="">
      <xdr:nvGraphicFramePr>
        <xdr:cNvPr id="2" name="Gráfico 1">
          <a:extLst>
            <a:ext uri="{FF2B5EF4-FFF2-40B4-BE49-F238E27FC236}">
              <a16:creationId xmlns:a16="http://schemas.microsoft.com/office/drawing/2014/main" id="{9D10FE0F-C5D4-8172-B29D-BF9B774A0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22654</xdr:colOff>
      <xdr:row>21</xdr:row>
      <xdr:rowOff>111230</xdr:rowOff>
    </xdr:from>
    <xdr:to>
      <xdr:col>6</xdr:col>
      <xdr:colOff>903533</xdr:colOff>
      <xdr:row>35</xdr:row>
      <xdr:rowOff>187430</xdr:rowOff>
    </xdr:to>
    <xdr:graphicFrame macro="">
      <xdr:nvGraphicFramePr>
        <xdr:cNvPr id="3" name="Gráfico 2">
          <a:extLst>
            <a:ext uri="{FF2B5EF4-FFF2-40B4-BE49-F238E27FC236}">
              <a16:creationId xmlns:a16="http://schemas.microsoft.com/office/drawing/2014/main" id="{FF945E10-349F-F231-4F61-BAB8FABC7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34722</xdr:colOff>
      <xdr:row>0</xdr:row>
      <xdr:rowOff>105508</xdr:rowOff>
    </xdr:from>
    <xdr:to>
      <xdr:col>9</xdr:col>
      <xdr:colOff>310087</xdr:colOff>
      <xdr:row>14</xdr:row>
      <xdr:rowOff>181708</xdr:rowOff>
    </xdr:to>
    <xdr:graphicFrame macro="">
      <xdr:nvGraphicFramePr>
        <xdr:cNvPr id="3" name="Gráfico 2">
          <a:extLst>
            <a:ext uri="{FF2B5EF4-FFF2-40B4-BE49-F238E27FC236}">
              <a16:creationId xmlns:a16="http://schemas.microsoft.com/office/drawing/2014/main" id="{F19E8D2A-F0CA-D5D8-1DEF-92BF24EE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519112</xdr:colOff>
      <xdr:row>0</xdr:row>
      <xdr:rowOff>185737</xdr:rowOff>
    </xdr:from>
    <xdr:to>
      <xdr:col>11</xdr:col>
      <xdr:colOff>214312</xdr:colOff>
      <xdr:row>15</xdr:row>
      <xdr:rowOff>71437</xdr:rowOff>
    </xdr:to>
    <xdr:graphicFrame macro="">
      <xdr:nvGraphicFramePr>
        <xdr:cNvPr id="2" name="Gráfico 1">
          <a:extLst>
            <a:ext uri="{FF2B5EF4-FFF2-40B4-BE49-F238E27FC236}">
              <a16:creationId xmlns:a16="http://schemas.microsoft.com/office/drawing/2014/main" id="{9CAF6EBB-D261-57EF-1D03-92C9C7623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távio Malta" refreshedDate="45867.060177893516" createdVersion="8" refreshedVersion="8" minRefreshableVersion="3" recordCount="42" xr:uid="{503DFF74-C8E0-4C00-8A1B-9B51B7BC850B}">
  <cacheSource type="worksheet">
    <worksheetSource ref="A1:D1048576" sheet="Geradores"/>
  </cacheSource>
  <cacheFields count="4">
    <cacheField name="Geradores" numFmtId="0">
      <sharedItems containsBlank="1"/>
    </cacheField>
    <cacheField name="Abreviação" numFmtId="0">
      <sharedItems containsBlank="1"/>
    </cacheField>
    <cacheField name="Categoria" numFmtId="0">
      <sharedItems containsBlank="1" count="5">
        <s v="Modelos Baseados em GAN"/>
        <s v="Modelos de Difusão"/>
        <s v="Modelos Comerciais"/>
        <s v="Modelos Baseados em Autoencoders"/>
        <m/>
      </sharedItems>
    </cacheField>
    <cacheField name="Frequência" numFmtId="1">
      <sharedItems containsString="0" containsBlank="1" containsNumber="1" containsInteger="1" minValue="1" maxValue="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távio Malta" refreshedDate="45868.725580208331" createdVersion="8" refreshedVersion="8" minRefreshableVersion="3" recordCount="36" xr:uid="{A19CD411-C24B-4B43-9A64-8A923C3D9390}">
  <cacheSource type="worksheet">
    <worksheetSource name="Tabela9"/>
  </cacheSource>
  <cacheFields count="3">
    <cacheField name="Detector específico" numFmtId="0">
      <sharedItems/>
    </cacheField>
    <cacheField name="Categoria" numFmtId="0">
      <sharedItems count="6">
        <s v="Inconsistências Locais (Patches)"/>
        <s v="Universais e Baseados em Modelos de Fundação"/>
        <s v="&quot;Impressão Digital&quot; do Gerador (Fingerprint)"/>
        <s v="Arquiteturas Híbridas ou Específicas"/>
        <s v="Erros de Reconstrução ou Anomalia"/>
        <s v="Análise de Domínio da Frequência"/>
      </sharedItems>
    </cacheField>
    <cacheField name="Frequência"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StyleGAN"/>
    <s v="StyleGAN"/>
    <x v="0"/>
    <n v="13"/>
  </r>
  <r>
    <s v="Stable Diffusion"/>
    <s v="Stable Diffusion"/>
    <x v="1"/>
    <n v="10"/>
  </r>
  <r>
    <s v="Denoising Diffusion Implicit Models (DDIMs)"/>
    <s v="DDIM"/>
    <x v="1"/>
    <n v="4"/>
  </r>
  <r>
    <s v="Denoising Diffusion Probabilistic Models (DDPMs)"/>
    <s v="DDPM"/>
    <x v="1"/>
    <n v="5"/>
  </r>
  <r>
    <s v="MidJourney"/>
    <s v="MidJourney"/>
    <x v="2"/>
    <n v="5"/>
  </r>
  <r>
    <s v="VAE"/>
    <s v="VAE"/>
    <x v="3"/>
    <n v="4"/>
  </r>
  <r>
    <s v="ADM (Diffusion)"/>
    <s v="ADM"/>
    <x v="1"/>
    <n v="5"/>
  </r>
  <r>
    <s v="Latent Diffusion Models (LDMs)"/>
    <s v="LDM"/>
    <x v="1"/>
    <n v="5"/>
  </r>
  <r>
    <s v="ProGAN"/>
    <s v="ProGAN"/>
    <x v="0"/>
    <n v="8"/>
  </r>
  <r>
    <s v="StarGAN"/>
    <s v="StarGAN"/>
    <x v="0"/>
    <n v="5"/>
  </r>
  <r>
    <s v="BigGAN"/>
    <s v="BigGAN"/>
    <x v="0"/>
    <n v="5"/>
  </r>
  <r>
    <s v="Dall·E"/>
    <s v="Dall·E"/>
    <x v="2"/>
    <n v="2"/>
  </r>
  <r>
    <s v="Glide"/>
    <s v="Glide"/>
    <x v="1"/>
    <n v="4"/>
  </r>
  <r>
    <s v="IMLE"/>
    <s v="IMLE"/>
    <x v="0"/>
    <n v="4"/>
  </r>
  <r>
    <s v="SAN"/>
    <s v="SAN"/>
    <x v="0"/>
    <n v="4"/>
  </r>
  <r>
    <s v="VQDM (Vector Quantized Diffusion Model)"/>
    <s v="VQDM"/>
    <x v="1"/>
    <n v="3"/>
  </r>
  <r>
    <s v="Adobe Firefly"/>
    <s v="Adobe Firefly"/>
    <x v="2"/>
    <n v="1"/>
  </r>
  <r>
    <s v="Autoencoders de Diffusion Models"/>
    <s v="Autoencoders de Diffusion Models"/>
    <x v="1"/>
    <n v="1"/>
  </r>
  <r>
    <s v="CramerGAN"/>
    <s v="CramerGAN"/>
    <x v="0"/>
    <n v="1"/>
  </r>
  <r>
    <s v="CRN"/>
    <s v="CRN"/>
    <x v="0"/>
    <n v="3"/>
  </r>
  <r>
    <s v="DCGAN"/>
    <s v="DCGAN"/>
    <x v="0"/>
    <n v="1"/>
  </r>
  <r>
    <s v="Disco Diffusion"/>
    <s v="Disco Diffusion"/>
    <x v="1"/>
    <n v="1"/>
  </r>
  <r>
    <s v="Fully Convolutional Masked AutoEncoder"/>
    <s v="Fully Convolutional Masked AutoEncoder"/>
    <x v="3"/>
    <n v="1"/>
  </r>
  <r>
    <s v="GauGAN"/>
    <s v="GauGAN"/>
    <x v="0"/>
    <n v="3"/>
  </r>
  <r>
    <s v="Gerador de Artefatos Artificiais"/>
    <s v="Gerador de Artefatos Artificiais"/>
    <x v="3"/>
    <n v="1"/>
  </r>
  <r>
    <s v="Ghigh"/>
    <s v="Ghigh"/>
    <x v="3"/>
    <n v="1"/>
  </r>
  <r>
    <s v="Glow"/>
    <s v="Glow"/>
    <x v="3"/>
    <n v="1"/>
  </r>
  <r>
    <s v="Gnon"/>
    <s v="Gnon"/>
    <x v="3"/>
    <n v="1"/>
  </r>
  <r>
    <s v="Google Veo"/>
    <s v="Google Veo"/>
    <x v="2"/>
    <n v="1"/>
  </r>
  <r>
    <s v="Guided Diffusion"/>
    <s v="Guided Diffusion"/>
    <x v="1"/>
    <n v="2"/>
  </r>
  <r>
    <s v="Kling"/>
    <s v="Kling"/>
    <x v="2"/>
    <n v="1"/>
  </r>
  <r>
    <s v="LaMa"/>
    <s v="LaMa"/>
    <x v="2"/>
    <n v="1"/>
  </r>
  <r>
    <s v="LlamaGen"/>
    <s v="LlamaGen"/>
    <x v="2"/>
    <n v="1"/>
  </r>
  <r>
    <s v="Luma"/>
    <s v="Luma"/>
    <x v="2"/>
    <n v="1"/>
  </r>
  <r>
    <s v="MMDGAN"/>
    <s v="MMDGAN"/>
    <x v="0"/>
    <n v="1"/>
  </r>
  <r>
    <s v="PGGAN"/>
    <s v="PGGAN"/>
    <x v="0"/>
    <n v="1"/>
  </r>
  <r>
    <s v="Pika"/>
    <s v="Pika"/>
    <x v="2"/>
    <n v="1"/>
  </r>
  <r>
    <s v="Runway"/>
    <s v="Runway"/>
    <x v="2"/>
    <n v="1"/>
  </r>
  <r>
    <s v="SNGAN"/>
    <s v="SNGAN"/>
    <x v="0"/>
    <n v="1"/>
  </r>
  <r>
    <s v="Sora"/>
    <s v="Sora"/>
    <x v="2"/>
    <n v="1"/>
  </r>
  <r>
    <s v="CycleGAN"/>
    <s v="CycleGAN"/>
    <x v="0"/>
    <n v="3"/>
  </r>
  <r>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GramNet"/>
    <x v="0"/>
    <n v="6"/>
  </r>
  <r>
    <s v="UnivFD"/>
    <x v="1"/>
    <n v="5"/>
  </r>
  <r>
    <s v="CNNSpot"/>
    <x v="2"/>
    <n v="4"/>
  </r>
  <r>
    <s v="LGrad"/>
    <x v="3"/>
    <n v="4"/>
  </r>
  <r>
    <s v="DIRE"/>
    <x v="4"/>
    <n v="4"/>
  </r>
  <r>
    <s v="CNNDetect"/>
    <x v="2"/>
    <n v="3"/>
  </r>
  <r>
    <s v="Spec"/>
    <x v="5"/>
    <n v="3"/>
  </r>
  <r>
    <s v="F3Net"/>
    <x v="5"/>
    <n v="3"/>
  </r>
  <r>
    <s v="NPR"/>
    <x v="3"/>
    <n v="3"/>
  </r>
  <r>
    <s v="fusing"/>
    <x v="3"/>
    <n v="3"/>
  </r>
  <r>
    <s v="Deep Image Fingerprint"/>
    <x v="2"/>
    <n v="2"/>
  </r>
  <r>
    <s v="FreDect"/>
    <x v="5"/>
    <n v="2"/>
  </r>
  <r>
    <s v="LNP"/>
    <x v="3"/>
    <n v="2"/>
  </r>
  <r>
    <s v="PatchForensics"/>
    <x v="0"/>
    <n v="2"/>
  </r>
  <r>
    <s v="PatchCraft"/>
    <x v="0"/>
    <n v="2"/>
  </r>
  <r>
    <s v="RINE"/>
    <x v="1"/>
    <n v="2"/>
  </r>
  <r>
    <s v="GANID"/>
    <x v="2"/>
    <n v="1"/>
  </r>
  <r>
    <s v="DMID"/>
    <x v="2"/>
    <n v="1"/>
  </r>
  <r>
    <s v="DIMD"/>
    <x v="2"/>
    <n v="1"/>
  </r>
  <r>
    <s v="NASA-Swin"/>
    <x v="3"/>
    <n v="1"/>
  </r>
  <r>
    <s v="MDTL-NET"/>
    <x v="3"/>
    <n v="1"/>
  </r>
  <r>
    <s v="Hybrid Xception Ensemble"/>
    <x v="3"/>
    <n v="1"/>
  </r>
  <r>
    <s v="DC-BiNet"/>
    <x v="3"/>
    <n v="1"/>
  </r>
  <r>
    <s v="CNN-R"/>
    <x v="3"/>
    <n v="1"/>
  </r>
  <r>
    <s v="CNN baseadas em Gradientes"/>
    <x v="3"/>
    <n v="1"/>
  </r>
  <r>
    <s v="SBI"/>
    <x v="4"/>
    <n v="1"/>
  </r>
  <r>
    <s v="LaRE"/>
    <x v="4"/>
    <n v="1"/>
  </r>
  <r>
    <s v="AutoGAN"/>
    <x v="4"/>
    <n v="1"/>
  </r>
  <r>
    <s v="APN"/>
    <x v="4"/>
    <n v="1"/>
  </r>
  <r>
    <s v="TextureCrop"/>
    <x v="0"/>
    <n v="1"/>
  </r>
  <r>
    <s v="PatchFron"/>
    <x v="0"/>
    <n v="1"/>
  </r>
  <r>
    <s v="Patch Classifier"/>
    <x v="0"/>
    <n v="1"/>
  </r>
  <r>
    <s v="UniversalDet"/>
    <x v="1"/>
    <n v="1"/>
  </r>
  <r>
    <s v="FatFormer"/>
    <x v="1"/>
    <n v="1"/>
  </r>
  <r>
    <s v="DSAN"/>
    <x v="1"/>
    <n v="1"/>
  </r>
  <r>
    <s v="DeFake"/>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0DA42B-9F84-4FB0-A301-6FB18554FFAC}" name="Tabela dinâ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E18:F25" firstHeaderRow="1" firstDataRow="1" firstDataCol="1"/>
  <pivotFields count="3">
    <pivotField showAll="0"/>
    <pivotField axis="axisRow" showAll="0">
      <items count="7">
        <item x="2"/>
        <item x="5"/>
        <item x="3"/>
        <item x="4"/>
        <item x="0"/>
        <item x="1"/>
        <item t="default"/>
      </items>
    </pivotField>
    <pivotField dataField="1" showAll="0"/>
  </pivotFields>
  <rowFields count="1">
    <field x="1"/>
  </rowFields>
  <rowItems count="7">
    <i>
      <x/>
    </i>
    <i>
      <x v="1"/>
    </i>
    <i>
      <x v="2"/>
    </i>
    <i>
      <x v="3"/>
    </i>
    <i>
      <x v="4"/>
    </i>
    <i>
      <x v="5"/>
    </i>
    <i t="grand">
      <x/>
    </i>
  </rowItems>
  <colItems count="1">
    <i/>
  </colItems>
  <dataFields count="1">
    <dataField name="Soma de Frequência" fld="2" baseField="0" baseItem="0"/>
  </dataFields>
  <chartFormats count="8">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 chart="8" format="5">
      <pivotArea type="data" outline="0" fieldPosition="0">
        <references count="2">
          <reference field="4294967294" count="1" selected="0">
            <x v="0"/>
          </reference>
          <reference field="1" count="1" selected="0">
            <x v="4"/>
          </reference>
        </references>
      </pivotArea>
    </chartFormat>
    <chartFormat chart="8"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F55E5-E48D-44CF-B2A4-07B1A067E83E}"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E16:F21" firstHeaderRow="1" firstDataRow="1" firstDataCol="1"/>
  <pivotFields count="4">
    <pivotField showAll="0"/>
    <pivotField showAll="0"/>
    <pivotField axis="axisRow" showAll="0">
      <items count="6">
        <item x="3"/>
        <item x="0"/>
        <item x="2"/>
        <item x="1"/>
        <item h="1" x="4"/>
        <item t="default"/>
      </items>
    </pivotField>
    <pivotField dataField="1" showAll="0"/>
  </pivotFields>
  <rowFields count="1">
    <field x="2"/>
  </rowFields>
  <rowItems count="5">
    <i>
      <x/>
    </i>
    <i>
      <x v="1"/>
    </i>
    <i>
      <x v="2"/>
    </i>
    <i>
      <x v="3"/>
    </i>
    <i t="grand">
      <x/>
    </i>
  </rowItems>
  <colItems count="1">
    <i/>
  </colItems>
  <dataFields count="1">
    <dataField name="Soma de Frequência" fld="3" baseField="0" baseItem="0"/>
  </dataFields>
  <chartFormats count="5">
    <chartFormat chart="3" format="0"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63D496-1392-48A6-9714-7B841F3C6E25}" name="Tabela5" displayName="Tabela5" ref="A1:F75" totalsRowShown="0" headerRowCellStyle="Normal" dataCellStyle="Normal">
  <autoFilter ref="A1:F75" xr:uid="{2F63D496-1392-48A6-9714-7B841F3C6E25}"/>
  <sortState xmlns:xlrd2="http://schemas.microsoft.com/office/spreadsheetml/2017/richdata2" ref="A4:F66">
    <sortCondition ref="A1:A75"/>
  </sortState>
  <tableColumns count="6">
    <tableColumn id="1" xr3:uid="{5CF9F869-F0AF-4410-BEFD-4262AA83C044}" name="Artigo" dataCellStyle="Normal"/>
    <tableColumn id="2" xr3:uid="{CFF4F97B-7030-4DF4-B05A-05297C3CBFDC}" name="Base" dataCellStyle="Normal"/>
    <tableColumn id="3" xr3:uid="{CB76EAA8-E432-45BF-B279-0A90DB285D6D}" name="Duplicado" dataCellStyle="Normal"/>
    <tableColumn id="4" xr3:uid="{968B8E04-BC17-4A83-AEDA-0EDF30290DA3}" name="Disponível" dataCellStyle="Normal"/>
    <tableColumn id="5" xr3:uid="{8E80E9A0-857C-423E-BF80-2119A8973AD9}" name="Triagem" dataCellStyle="Normal"/>
    <tableColumn id="8" xr3:uid="{1DE4F572-1DF5-4D4D-B6F9-74FFD7DF9D53}" name="Incluído"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C26A09-1217-4D4C-A5EC-E98CF7D0A715}" name="Tabela3" displayName="Tabela3" ref="A1:O45" totalsRowShown="0" headerRowDxfId="36" dataCellStyle="Normal">
  <autoFilter ref="A1:O45" xr:uid="{E1C26A09-1217-4D4C-A5EC-E98CF7D0A715}"/>
  <sortState xmlns:xlrd2="http://schemas.microsoft.com/office/spreadsheetml/2017/richdata2" ref="A2:O45">
    <sortCondition ref="B1:B45"/>
  </sortState>
  <tableColumns count="15">
    <tableColumn id="27" xr3:uid="{AE1CE6F9-2273-468D-824A-1D5409B391C5}" name="Número" dataCellStyle="Normal"/>
    <tableColumn id="28" xr3:uid="{F5186E66-5F5D-4A98-BAEC-39219889A92B}" name="Título" dataCellStyle="Normal"/>
    <tableColumn id="2" xr3:uid="{B3BE0637-D690-4BA5-9D1E-96062A97153E}" name="Autores" dataCellStyle="Normal"/>
    <tableColumn id="29" xr3:uid="{95EF611A-335D-4811-AD97-11B2CC69937B}" name="Ano" dataCellStyle="Normal"/>
    <tableColumn id="30" xr3:uid="{F8BEDFFD-DA98-4416-929C-0DB843F65C13}" name="Foco Principal do Estudo" dataCellStyle="Normal"/>
    <tableColumn id="31" xr3:uid="{5BD678D8-E635-4E4B-835C-C8A79A750942}" name="Algoritmos/Técnicas Utilizadas" dataCellStyle="Normal"/>
    <tableColumn id="32" xr3:uid="{08FF9696-E208-4C67-BBEB-940BD6DEDE8A}" name="Datasets Utilizados" dataCellStyle="Normal"/>
    <tableColumn id="33" xr3:uid="{3DFD1871-741E-48F1-BFA2-E5FDBC832A7B}" name="Métricas de Desempenho" dataCellStyle="Normal"/>
    <tableColumn id="34" xr3:uid="{DBDE0163-B842-4BD6-8707-2BBF531B6C38}" name="Resultados de Desempenho" dataCellStyle="Normal"/>
    <tableColumn id="35" xr3:uid="{A8312DB7-05C8-4422-956F-A55CAFAEC9D0}" name="Limitações Identificadas" dataCellStyle="Normal"/>
    <tableColumn id="36" xr3:uid="{6FAC21F4-74B7-4DF9-99E8-3BD42CF0DD36}" name="Desafios Abordados" dataCellStyle="Normal"/>
    <tableColumn id="37" xr3:uid="{9CA98B45-24F4-4B40-A430-3842BEEF2E88}" name="Ferramentas Promissoras" dataCellStyle="Normal"/>
    <tableColumn id="38" xr3:uid="{A5F32F1F-3084-4A27-86D5-055FCB65B548}" name="Implicações Sociais/Éticas" dataCellStyle="Normal"/>
    <tableColumn id="39" xr3:uid="{BCAAEAB8-B395-4C74-A8E5-B033BC03C298}" name="Principais Insights" dataCellStyle="Normal"/>
    <tableColumn id="40" xr3:uid="{7BA0E96F-F3A5-49A1-8153-C1AFF7E76868}" name=" " dataCellStyle="Normal"/>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5CF1F0-7B8A-4593-BB27-9335A580BE70}" name="Tabela1" displayName="Tabela1" ref="A1:B14" totalsRowShown="0" headerRowDxfId="35" dataDxfId="34">
  <autoFilter ref="A1:B14" xr:uid="{2A5CF1F0-7B8A-4593-BB27-9335A580BE70}"/>
  <sortState xmlns:xlrd2="http://schemas.microsoft.com/office/spreadsheetml/2017/richdata2" ref="A2:B14">
    <sortCondition descending="1" ref="B1:B14"/>
  </sortState>
  <tableColumns count="2">
    <tableColumn id="1" xr3:uid="{1A96456B-281D-4D97-B749-942B1994829B}" name="Arquitetura Base" dataDxfId="33"/>
    <tableColumn id="2" xr3:uid="{306E37DE-D8EF-4651-BC73-C066C9E7C4E0}" name="Frequência" dataDxfId="32">
      <calculatedColumnFormula>COUNTIF(Base!$F$2:$F$45,"*"&amp;A2&amp;"*")</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EBB903-7FF0-487B-BDA7-FF94A34ED069}" name="Tabela9" displayName="Tabela9" ref="A1:C38" totalsRowCount="1" headerRowDxfId="31" dataDxfId="29" totalsRowDxfId="27" headerRowBorderDxfId="30" tableBorderDxfId="28">
  <autoFilter ref="A1:C37" xr:uid="{06023548-95E0-4AA0-B77D-937994B14033}"/>
  <sortState xmlns:xlrd2="http://schemas.microsoft.com/office/spreadsheetml/2017/richdata2" ref="A2:C37">
    <sortCondition descending="1" ref="C1:C37"/>
  </sortState>
  <tableColumns count="3">
    <tableColumn id="1" xr3:uid="{F725BE83-D361-45A7-8910-446B89EC9FA5}" name="Detector específico" dataDxfId="26" totalsRowDxfId="25"/>
    <tableColumn id="2" xr3:uid="{ECA8188E-2632-4697-8AEE-D67F0359E694}" name="Categoria" dataDxfId="24" totalsRowDxfId="23"/>
    <tableColumn id="3" xr3:uid="{058FEE85-2545-413B-89F4-F0D797013D0F}" name="Frequência" totalsRowFunction="custom" dataDxfId="22" totalsRowDxfId="21">
      <calculatedColumnFormula>COUNTIF(Base!$F$2:$F$45,"*"&amp;A2&amp;"*")</calculatedColumnFormula>
      <totalsRowFormula>SUM(Tabela9[Frequência])</totalsRowFormula>
    </tableColumn>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167A397-8E8F-438A-89FC-30F3600E73CE}" name="Tabela8" displayName="Tabela8" ref="A1:D42" totalsRowShown="0" headerRowDxfId="20" dataDxfId="18" headerRowBorderDxfId="19" tableBorderDxfId="17">
  <autoFilter ref="A1:D42" xr:uid="{0167A397-8E8F-438A-89FC-30F3600E73CE}"/>
  <sortState xmlns:xlrd2="http://schemas.microsoft.com/office/spreadsheetml/2017/richdata2" ref="A2:D42">
    <sortCondition descending="1" ref="D1:D42"/>
  </sortState>
  <tableColumns count="4">
    <tableColumn id="1" xr3:uid="{96DF01CE-B18B-4255-BC2C-980E655E3CF5}" name="Geradores" dataDxfId="16"/>
    <tableColumn id="2" xr3:uid="{E6C0E866-C3A0-4D9C-8996-EC2A9241D4D8}" name="Abreviação" dataDxfId="15"/>
    <tableColumn id="3" xr3:uid="{8F4309B2-1310-434C-930C-535B912F94C9}" name="Categoria" dataDxfId="14"/>
    <tableColumn id="4" xr3:uid="{4247D2AE-48C5-4E72-A445-AF806779467C}" name="Frequência" dataDxfId="13">
      <calculatedColumnFormula>COUNTIF(Base!$F$2:$F$45,"*"&amp;B2&amp;"*")</calculatedColumnFormula>
    </tableColumn>
  </tableColumns>
  <tableStyleInfo name="TableStyleLight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714187-9460-4D83-8642-68C41D680CCD}" name="Tabela7" displayName="Tabela7" ref="A1:B35" totalsRowShown="0" headerRowDxfId="12" dataDxfId="10" headerRowBorderDxfId="11" tableBorderDxfId="9">
  <autoFilter ref="A1:B35" xr:uid="{4A714187-9460-4D83-8642-68C41D680CCD}"/>
  <sortState xmlns:xlrd2="http://schemas.microsoft.com/office/spreadsheetml/2017/richdata2" ref="A2:B35">
    <sortCondition descending="1" ref="B1:B35"/>
  </sortState>
  <tableColumns count="2">
    <tableColumn id="1" xr3:uid="{10F2F66F-22A7-4B54-99FB-10777503BC89}" name="Dataset" dataDxfId="8"/>
    <tableColumn id="2" xr3:uid="{D7D95379-446A-42AD-98E5-F0CE6525BFB9}" name="Frequência" dataDxfId="7">
      <calculatedColumnFormula>COUNTIF(Base!$G$2:$G$45,"*"&amp;A2&amp;"*")</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D5A352-B906-4E0F-8164-77462FDA3861}" name="Tabela2" displayName="Tabela2" ref="A1:C29" totalsRowShown="0" headerRowDxfId="6" dataDxfId="4" headerRowBorderDxfId="5" tableBorderDxfId="3">
  <autoFilter ref="A1:C29" xr:uid="{7DD5A352-B906-4E0F-8164-77462FDA3861}"/>
  <sortState xmlns:xlrd2="http://schemas.microsoft.com/office/spreadsheetml/2017/richdata2" ref="A2:C29">
    <sortCondition descending="1" ref="C1:C29"/>
  </sortState>
  <tableColumns count="3">
    <tableColumn id="1" xr3:uid="{E7FD52E3-77B0-4133-BD67-464E9D121329}" name="Métrica" dataDxfId="2"/>
    <tableColumn id="2" xr3:uid="{1CA8A9B2-2BB2-48F3-8FF9-155C5A80A4C3}" name="Abreviação" dataDxfId="1"/>
    <tableColumn id="3" xr3:uid="{9493517A-AE95-40A0-BF15-3C61B61A7AB2}" name="Frequência" dataDxfId="0">
      <calculatedColumnFormula>COUNTIF(Base!$H$2:$H$45,"*"&amp;B2&amp;"*")</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3EB9-4772-4E39-ACB6-647AC06D89A0}">
  <dimension ref="A1:F75"/>
  <sheetViews>
    <sheetView zoomScale="90" zoomScaleNormal="90" workbookViewId="0">
      <selection activeCell="C11" sqref="C11"/>
    </sheetView>
  </sheetViews>
  <sheetFormatPr defaultRowHeight="15" x14ac:dyDescent="0.25"/>
  <cols>
    <col min="1" max="1" width="129.85546875" customWidth="1"/>
    <col min="2" max="2" width="12" customWidth="1"/>
    <col min="3" max="3" width="12.5703125" customWidth="1"/>
    <col min="4" max="4" width="10.28515625" customWidth="1"/>
    <col min="5" max="5" width="10.5703125" customWidth="1"/>
    <col min="7" max="7" width="16.85546875" bestFit="1" customWidth="1"/>
    <col min="8" max="8" width="12.5703125" bestFit="1" customWidth="1"/>
  </cols>
  <sheetData>
    <row r="1" spans="1:6" x14ac:dyDescent="0.25">
      <c r="A1" t="s">
        <v>545</v>
      </c>
      <c r="B1" t="s">
        <v>544</v>
      </c>
      <c r="C1" t="s">
        <v>524</v>
      </c>
      <c r="D1" t="s">
        <v>525</v>
      </c>
      <c r="E1" t="s">
        <v>526</v>
      </c>
      <c r="F1" t="s">
        <v>546</v>
      </c>
    </row>
    <row r="2" spans="1:6" x14ac:dyDescent="0.25">
      <c r="A2" t="s">
        <v>509</v>
      </c>
      <c r="B2" t="s">
        <v>521</v>
      </c>
      <c r="C2" t="s">
        <v>523</v>
      </c>
      <c r="D2" t="s">
        <v>489</v>
      </c>
      <c r="E2" t="s">
        <v>523</v>
      </c>
      <c r="F2" t="s">
        <v>523</v>
      </c>
    </row>
    <row r="3" spans="1:6" x14ac:dyDescent="0.25">
      <c r="A3" t="s">
        <v>568</v>
      </c>
      <c r="B3" t="s">
        <v>522</v>
      </c>
      <c r="C3" t="s">
        <v>523</v>
      </c>
      <c r="D3" t="s">
        <v>489</v>
      </c>
      <c r="E3" t="s">
        <v>523</v>
      </c>
      <c r="F3" t="s">
        <v>523</v>
      </c>
    </row>
    <row r="4" spans="1:6" x14ac:dyDescent="0.25">
      <c r="A4" t="s">
        <v>496</v>
      </c>
      <c r="B4" t="s">
        <v>498</v>
      </c>
      <c r="C4" t="s">
        <v>523</v>
      </c>
      <c r="D4" t="s">
        <v>489</v>
      </c>
      <c r="E4" t="s">
        <v>489</v>
      </c>
      <c r="F4" t="s">
        <v>489</v>
      </c>
    </row>
    <row r="5" spans="1:6" x14ac:dyDescent="0.25">
      <c r="A5" t="s">
        <v>492</v>
      </c>
      <c r="B5" t="s">
        <v>498</v>
      </c>
      <c r="C5" t="s">
        <v>523</v>
      </c>
      <c r="D5" t="s">
        <v>489</v>
      </c>
      <c r="E5" t="s">
        <v>489</v>
      </c>
      <c r="F5" t="s">
        <v>489</v>
      </c>
    </row>
    <row r="6" spans="1:6" x14ac:dyDescent="0.25">
      <c r="A6" t="s">
        <v>527</v>
      </c>
      <c r="B6" t="s">
        <v>522</v>
      </c>
      <c r="C6" t="s">
        <v>523</v>
      </c>
      <c r="D6" t="s">
        <v>489</v>
      </c>
      <c r="E6" t="s">
        <v>489</v>
      </c>
      <c r="F6" t="s">
        <v>489</v>
      </c>
    </row>
    <row r="7" spans="1:6" x14ac:dyDescent="0.25">
      <c r="A7" t="s">
        <v>569</v>
      </c>
      <c r="B7" t="s">
        <v>522</v>
      </c>
      <c r="C7" t="s">
        <v>523</v>
      </c>
      <c r="D7" t="s">
        <v>489</v>
      </c>
      <c r="E7" t="s">
        <v>523</v>
      </c>
      <c r="F7" t="s">
        <v>523</v>
      </c>
    </row>
    <row r="8" spans="1:6" x14ac:dyDescent="0.25">
      <c r="A8" t="s">
        <v>528</v>
      </c>
      <c r="B8" t="s">
        <v>522</v>
      </c>
      <c r="C8" t="s">
        <v>523</v>
      </c>
      <c r="D8" t="s">
        <v>489</v>
      </c>
      <c r="E8" t="s">
        <v>489</v>
      </c>
      <c r="F8" t="s">
        <v>489</v>
      </c>
    </row>
    <row r="9" spans="1:6" x14ac:dyDescent="0.25">
      <c r="A9" t="s">
        <v>548</v>
      </c>
      <c r="B9" t="s">
        <v>522</v>
      </c>
      <c r="C9" t="s">
        <v>523</v>
      </c>
      <c r="D9" t="s">
        <v>489</v>
      </c>
      <c r="E9" t="s">
        <v>489</v>
      </c>
      <c r="F9" t="s">
        <v>489</v>
      </c>
    </row>
    <row r="10" spans="1:6" x14ac:dyDescent="0.25">
      <c r="A10" t="s">
        <v>505</v>
      </c>
      <c r="B10" t="s">
        <v>521</v>
      </c>
      <c r="C10" t="s">
        <v>489</v>
      </c>
      <c r="D10" t="s">
        <v>489</v>
      </c>
      <c r="E10" t="s">
        <v>523</v>
      </c>
      <c r="F10" t="s">
        <v>523</v>
      </c>
    </row>
    <row r="11" spans="1:6" x14ac:dyDescent="0.25">
      <c r="A11" t="s">
        <v>549</v>
      </c>
      <c r="B11" t="s">
        <v>522</v>
      </c>
      <c r="C11" t="s">
        <v>523</v>
      </c>
      <c r="D11" t="s">
        <v>489</v>
      </c>
      <c r="E11" t="s">
        <v>489</v>
      </c>
      <c r="F11" t="s">
        <v>489</v>
      </c>
    </row>
    <row r="12" spans="1:6" x14ac:dyDescent="0.25">
      <c r="A12" t="s">
        <v>503</v>
      </c>
      <c r="B12" t="s">
        <v>521</v>
      </c>
      <c r="C12" t="s">
        <v>523</v>
      </c>
      <c r="D12" t="s">
        <v>489</v>
      </c>
      <c r="E12" t="s">
        <v>523</v>
      </c>
      <c r="F12" t="s">
        <v>523</v>
      </c>
    </row>
    <row r="13" spans="1:6" x14ac:dyDescent="0.25">
      <c r="A13" t="s">
        <v>570</v>
      </c>
      <c r="B13" t="s">
        <v>522</v>
      </c>
      <c r="C13" t="s">
        <v>523</v>
      </c>
      <c r="D13" t="s">
        <v>489</v>
      </c>
      <c r="E13" t="s">
        <v>523</v>
      </c>
      <c r="F13" t="s">
        <v>523</v>
      </c>
    </row>
    <row r="14" spans="1:6" x14ac:dyDescent="0.25">
      <c r="A14" t="s">
        <v>571</v>
      </c>
      <c r="B14" t="s">
        <v>522</v>
      </c>
      <c r="C14" t="s">
        <v>523</v>
      </c>
      <c r="D14" t="s">
        <v>489</v>
      </c>
      <c r="E14" t="s">
        <v>523</v>
      </c>
      <c r="F14" t="s">
        <v>523</v>
      </c>
    </row>
    <row r="15" spans="1:6" x14ac:dyDescent="0.25">
      <c r="A15" t="s">
        <v>505</v>
      </c>
      <c r="B15" t="s">
        <v>521</v>
      </c>
      <c r="C15" t="s">
        <v>523</v>
      </c>
      <c r="D15" t="s">
        <v>489</v>
      </c>
      <c r="E15" t="s">
        <v>489</v>
      </c>
      <c r="F15" t="s">
        <v>489</v>
      </c>
    </row>
    <row r="16" spans="1:6" x14ac:dyDescent="0.25">
      <c r="A16" t="s">
        <v>529</v>
      </c>
      <c r="B16" t="s">
        <v>522</v>
      </c>
      <c r="C16" t="s">
        <v>523</v>
      </c>
      <c r="D16" t="s">
        <v>489</v>
      </c>
      <c r="E16" t="s">
        <v>489</v>
      </c>
      <c r="F16" t="s">
        <v>489</v>
      </c>
    </row>
    <row r="17" spans="1:6" x14ac:dyDescent="0.25">
      <c r="A17" t="s">
        <v>506</v>
      </c>
      <c r="B17" t="s">
        <v>521</v>
      </c>
      <c r="C17" t="s">
        <v>523</v>
      </c>
      <c r="D17" t="s">
        <v>489</v>
      </c>
      <c r="E17" t="s">
        <v>523</v>
      </c>
      <c r="F17" t="s">
        <v>523</v>
      </c>
    </row>
    <row r="18" spans="1:6" x14ac:dyDescent="0.25">
      <c r="A18" t="s">
        <v>551</v>
      </c>
      <c r="B18" t="s">
        <v>522</v>
      </c>
      <c r="C18" t="s">
        <v>523</v>
      </c>
      <c r="D18" t="s">
        <v>489</v>
      </c>
      <c r="E18" t="s">
        <v>489</v>
      </c>
      <c r="F18" t="s">
        <v>489</v>
      </c>
    </row>
    <row r="19" spans="1:6" x14ac:dyDescent="0.25">
      <c r="A19" t="s">
        <v>516</v>
      </c>
      <c r="B19" t="s">
        <v>521</v>
      </c>
      <c r="C19" t="s">
        <v>523</v>
      </c>
      <c r="D19" t="s">
        <v>489</v>
      </c>
      <c r="E19" t="s">
        <v>489</v>
      </c>
      <c r="F19" t="s">
        <v>489</v>
      </c>
    </row>
    <row r="20" spans="1:6" x14ac:dyDescent="0.25">
      <c r="A20" t="s">
        <v>530</v>
      </c>
      <c r="B20" t="s">
        <v>522</v>
      </c>
      <c r="C20" t="s">
        <v>523</v>
      </c>
      <c r="D20" t="s">
        <v>489</v>
      </c>
      <c r="E20" t="s">
        <v>489</v>
      </c>
      <c r="F20" t="s">
        <v>489</v>
      </c>
    </row>
    <row r="21" spans="1:6" x14ac:dyDescent="0.25">
      <c r="A21" t="s">
        <v>515</v>
      </c>
      <c r="B21" t="s">
        <v>521</v>
      </c>
      <c r="C21" t="s">
        <v>523</v>
      </c>
      <c r="D21" t="s">
        <v>489</v>
      </c>
      <c r="E21" t="s">
        <v>489</v>
      </c>
      <c r="F21" t="s">
        <v>523</v>
      </c>
    </row>
    <row r="22" spans="1:6" x14ac:dyDescent="0.25">
      <c r="A22" t="s">
        <v>512</v>
      </c>
      <c r="B22" t="s">
        <v>521</v>
      </c>
      <c r="C22" t="s">
        <v>523</v>
      </c>
      <c r="D22" t="s">
        <v>489</v>
      </c>
      <c r="E22" t="s">
        <v>489</v>
      </c>
      <c r="F22" t="s">
        <v>489</v>
      </c>
    </row>
    <row r="23" spans="1:6" x14ac:dyDescent="0.25">
      <c r="A23" t="s">
        <v>553</v>
      </c>
      <c r="B23" t="s">
        <v>522</v>
      </c>
      <c r="C23" t="s">
        <v>523</v>
      </c>
      <c r="D23" t="s">
        <v>489</v>
      </c>
      <c r="E23" t="s">
        <v>489</v>
      </c>
      <c r="F23" t="s">
        <v>489</v>
      </c>
    </row>
    <row r="24" spans="1:6" x14ac:dyDescent="0.25">
      <c r="A24" t="s">
        <v>514</v>
      </c>
      <c r="B24" t="s">
        <v>521</v>
      </c>
      <c r="C24" t="s">
        <v>523</v>
      </c>
      <c r="D24" t="s">
        <v>489</v>
      </c>
      <c r="E24" t="s">
        <v>489</v>
      </c>
      <c r="F24" t="s">
        <v>489</v>
      </c>
    </row>
    <row r="25" spans="1:6" x14ac:dyDescent="0.25">
      <c r="A25" t="s">
        <v>531</v>
      </c>
      <c r="B25" t="s">
        <v>522</v>
      </c>
      <c r="C25" t="s">
        <v>523</v>
      </c>
      <c r="D25" t="s">
        <v>489</v>
      </c>
      <c r="E25" t="s">
        <v>489</v>
      </c>
      <c r="F25" t="s">
        <v>489</v>
      </c>
    </row>
    <row r="26" spans="1:6" x14ac:dyDescent="0.25">
      <c r="A26" t="s">
        <v>510</v>
      </c>
      <c r="B26" t="s">
        <v>521</v>
      </c>
      <c r="C26" t="s">
        <v>523</v>
      </c>
      <c r="D26" t="s">
        <v>489</v>
      </c>
      <c r="E26" t="s">
        <v>523</v>
      </c>
      <c r="F26" t="s">
        <v>523</v>
      </c>
    </row>
    <row r="27" spans="1:6" x14ac:dyDescent="0.25">
      <c r="A27" t="s">
        <v>554</v>
      </c>
      <c r="B27" t="s">
        <v>522</v>
      </c>
      <c r="C27" t="s">
        <v>523</v>
      </c>
      <c r="D27" t="s">
        <v>489</v>
      </c>
      <c r="E27" t="s">
        <v>489</v>
      </c>
      <c r="F27" t="s">
        <v>489</v>
      </c>
    </row>
    <row r="28" spans="1:6" x14ac:dyDescent="0.25">
      <c r="A28" t="s">
        <v>532</v>
      </c>
      <c r="B28" t="s">
        <v>522</v>
      </c>
      <c r="C28" t="s">
        <v>523</v>
      </c>
      <c r="D28" t="s">
        <v>489</v>
      </c>
      <c r="E28" t="s">
        <v>489</v>
      </c>
      <c r="F28" t="s">
        <v>489</v>
      </c>
    </row>
    <row r="29" spans="1:6" x14ac:dyDescent="0.25">
      <c r="A29" t="s">
        <v>555</v>
      </c>
      <c r="B29" t="s">
        <v>522</v>
      </c>
      <c r="C29" t="s">
        <v>523</v>
      </c>
      <c r="D29" t="s">
        <v>489</v>
      </c>
      <c r="E29" t="s">
        <v>489</v>
      </c>
      <c r="F29" t="s">
        <v>489</v>
      </c>
    </row>
    <row r="30" spans="1:6" x14ac:dyDescent="0.25">
      <c r="A30" t="s">
        <v>501</v>
      </c>
      <c r="B30" t="s">
        <v>521</v>
      </c>
      <c r="C30" t="s">
        <v>523</v>
      </c>
      <c r="D30" t="s">
        <v>489</v>
      </c>
      <c r="E30" t="s">
        <v>523</v>
      </c>
      <c r="F30" t="s">
        <v>523</v>
      </c>
    </row>
    <row r="31" spans="1:6" x14ac:dyDescent="0.25">
      <c r="A31" t="s">
        <v>518</v>
      </c>
      <c r="B31" t="s">
        <v>521</v>
      </c>
      <c r="C31" t="s">
        <v>523</v>
      </c>
      <c r="D31" t="s">
        <v>489</v>
      </c>
      <c r="E31" t="s">
        <v>523</v>
      </c>
      <c r="F31" t="s">
        <v>523</v>
      </c>
    </row>
    <row r="32" spans="1:6" x14ac:dyDescent="0.25">
      <c r="A32" t="s">
        <v>500</v>
      </c>
      <c r="B32" t="s">
        <v>521</v>
      </c>
      <c r="C32" t="s">
        <v>523</v>
      </c>
      <c r="D32" t="s">
        <v>489</v>
      </c>
      <c r="E32" t="s">
        <v>523</v>
      </c>
      <c r="F32" t="s">
        <v>523</v>
      </c>
    </row>
    <row r="33" spans="1:6" x14ac:dyDescent="0.25">
      <c r="A33" t="s">
        <v>557</v>
      </c>
      <c r="B33" t="s">
        <v>522</v>
      </c>
      <c r="C33" t="s">
        <v>523</v>
      </c>
      <c r="D33" t="s">
        <v>489</v>
      </c>
      <c r="E33" t="s">
        <v>489</v>
      </c>
      <c r="F33" t="s">
        <v>489</v>
      </c>
    </row>
    <row r="34" spans="1:6" x14ac:dyDescent="0.25">
      <c r="A34" t="s">
        <v>513</v>
      </c>
      <c r="B34" t="s">
        <v>521</v>
      </c>
      <c r="C34" t="s">
        <v>523</v>
      </c>
      <c r="D34" t="s">
        <v>489</v>
      </c>
      <c r="E34" t="s">
        <v>489</v>
      </c>
      <c r="F34" t="s">
        <v>489</v>
      </c>
    </row>
    <row r="35" spans="1:6" x14ac:dyDescent="0.25">
      <c r="A35" t="s">
        <v>533</v>
      </c>
      <c r="B35" t="s">
        <v>522</v>
      </c>
      <c r="C35" t="s">
        <v>523</v>
      </c>
      <c r="D35" t="s">
        <v>489</v>
      </c>
      <c r="E35" t="s">
        <v>489</v>
      </c>
      <c r="F35" t="s">
        <v>489</v>
      </c>
    </row>
    <row r="36" spans="1:6" x14ac:dyDescent="0.25">
      <c r="A36" t="s">
        <v>534</v>
      </c>
      <c r="B36" t="s">
        <v>522</v>
      </c>
      <c r="C36" t="s">
        <v>523</v>
      </c>
      <c r="D36" t="s">
        <v>489</v>
      </c>
      <c r="E36" t="s">
        <v>489</v>
      </c>
      <c r="F36" t="s">
        <v>489</v>
      </c>
    </row>
    <row r="37" spans="1:6" x14ac:dyDescent="0.25">
      <c r="A37" t="s">
        <v>507</v>
      </c>
      <c r="B37" t="s">
        <v>521</v>
      </c>
      <c r="C37" t="s">
        <v>523</v>
      </c>
      <c r="D37" t="s">
        <v>489</v>
      </c>
      <c r="E37" t="s">
        <v>523</v>
      </c>
      <c r="F37" t="s">
        <v>523</v>
      </c>
    </row>
    <row r="38" spans="1:6" x14ac:dyDescent="0.25">
      <c r="A38" t="s">
        <v>535</v>
      </c>
      <c r="B38" t="s">
        <v>522</v>
      </c>
      <c r="C38" t="s">
        <v>523</v>
      </c>
      <c r="D38" t="s">
        <v>489</v>
      </c>
      <c r="E38" t="s">
        <v>489</v>
      </c>
      <c r="F38" t="s">
        <v>489</v>
      </c>
    </row>
    <row r="39" spans="1:6" x14ac:dyDescent="0.25">
      <c r="A39" t="s">
        <v>499</v>
      </c>
      <c r="B39" t="s">
        <v>521</v>
      </c>
      <c r="C39" t="s">
        <v>523</v>
      </c>
      <c r="D39" t="s">
        <v>489</v>
      </c>
      <c r="E39" t="s">
        <v>523</v>
      </c>
      <c r="F39" t="s">
        <v>523</v>
      </c>
    </row>
    <row r="40" spans="1:6" x14ac:dyDescent="0.25">
      <c r="A40" t="s">
        <v>536</v>
      </c>
      <c r="B40" t="s">
        <v>522</v>
      </c>
      <c r="C40" t="s">
        <v>523</v>
      </c>
      <c r="D40" t="s">
        <v>489</v>
      </c>
      <c r="E40" t="s">
        <v>489</v>
      </c>
      <c r="F40" t="s">
        <v>489</v>
      </c>
    </row>
    <row r="41" spans="1:6" x14ac:dyDescent="0.25">
      <c r="A41" t="s">
        <v>502</v>
      </c>
      <c r="B41" t="s">
        <v>521</v>
      </c>
      <c r="C41" t="s">
        <v>523</v>
      </c>
      <c r="D41" t="s">
        <v>489</v>
      </c>
      <c r="E41" t="s">
        <v>523</v>
      </c>
      <c r="F41" t="s">
        <v>523</v>
      </c>
    </row>
    <row r="42" spans="1:6" x14ac:dyDescent="0.25">
      <c r="A42" t="s">
        <v>504</v>
      </c>
      <c r="B42" t="s">
        <v>521</v>
      </c>
      <c r="C42" t="s">
        <v>523</v>
      </c>
      <c r="D42" t="s">
        <v>489</v>
      </c>
      <c r="E42" t="s">
        <v>523</v>
      </c>
      <c r="F42" t="s">
        <v>523</v>
      </c>
    </row>
    <row r="43" spans="1:6" x14ac:dyDescent="0.25">
      <c r="A43" t="s">
        <v>517</v>
      </c>
      <c r="B43" t="s">
        <v>521</v>
      </c>
      <c r="C43" t="s">
        <v>523</v>
      </c>
      <c r="D43" t="s">
        <v>489</v>
      </c>
      <c r="E43" t="s">
        <v>489</v>
      </c>
      <c r="F43" t="s">
        <v>489</v>
      </c>
    </row>
    <row r="44" spans="1:6" x14ac:dyDescent="0.25">
      <c r="A44" t="s">
        <v>558</v>
      </c>
      <c r="B44" t="s">
        <v>522</v>
      </c>
      <c r="C44" t="s">
        <v>523</v>
      </c>
      <c r="D44" t="s">
        <v>489</v>
      </c>
      <c r="E44" t="s">
        <v>489</v>
      </c>
      <c r="F44" t="s">
        <v>489</v>
      </c>
    </row>
    <row r="45" spans="1:6" x14ac:dyDescent="0.25">
      <c r="A45" t="s">
        <v>491</v>
      </c>
      <c r="B45" t="s">
        <v>498</v>
      </c>
      <c r="C45" t="s">
        <v>523</v>
      </c>
      <c r="D45" t="s">
        <v>489</v>
      </c>
      <c r="E45" t="s">
        <v>489</v>
      </c>
      <c r="F45" t="s">
        <v>489</v>
      </c>
    </row>
    <row r="46" spans="1:6" x14ac:dyDescent="0.25">
      <c r="A46" t="s">
        <v>508</v>
      </c>
      <c r="B46" t="s">
        <v>521</v>
      </c>
      <c r="C46" t="s">
        <v>523</v>
      </c>
      <c r="D46" t="s">
        <v>489</v>
      </c>
      <c r="E46" t="s">
        <v>523</v>
      </c>
      <c r="F46" t="s">
        <v>523</v>
      </c>
    </row>
    <row r="47" spans="1:6" x14ac:dyDescent="0.25">
      <c r="A47" t="s">
        <v>12</v>
      </c>
      <c r="B47" t="s">
        <v>498</v>
      </c>
      <c r="C47" t="s">
        <v>523</v>
      </c>
      <c r="D47" t="s">
        <v>489</v>
      </c>
      <c r="E47" t="s">
        <v>489</v>
      </c>
      <c r="F47" t="s">
        <v>489</v>
      </c>
    </row>
    <row r="48" spans="1:6" x14ac:dyDescent="0.25">
      <c r="A48" t="s">
        <v>537</v>
      </c>
      <c r="B48" t="s">
        <v>522</v>
      </c>
      <c r="C48" t="s">
        <v>523</v>
      </c>
      <c r="D48" t="s">
        <v>489</v>
      </c>
      <c r="E48" t="s">
        <v>489</v>
      </c>
      <c r="F48" t="s">
        <v>489</v>
      </c>
    </row>
    <row r="49" spans="1:6" x14ac:dyDescent="0.25">
      <c r="A49" t="s">
        <v>511</v>
      </c>
      <c r="B49" t="s">
        <v>521</v>
      </c>
      <c r="C49" t="s">
        <v>523</v>
      </c>
      <c r="D49" t="s">
        <v>489</v>
      </c>
      <c r="E49" t="s">
        <v>523</v>
      </c>
      <c r="F49" t="s">
        <v>523</v>
      </c>
    </row>
    <row r="50" spans="1:6" x14ac:dyDescent="0.25">
      <c r="A50" t="s">
        <v>560</v>
      </c>
      <c r="B50" t="s">
        <v>522</v>
      </c>
      <c r="C50" t="s">
        <v>523</v>
      </c>
      <c r="D50" t="s">
        <v>489</v>
      </c>
      <c r="E50" t="s">
        <v>489</v>
      </c>
      <c r="F50" t="s">
        <v>489</v>
      </c>
    </row>
    <row r="51" spans="1:6" x14ac:dyDescent="0.25">
      <c r="A51" t="s">
        <v>520</v>
      </c>
      <c r="B51" t="s">
        <v>521</v>
      </c>
      <c r="C51" t="s">
        <v>523</v>
      </c>
      <c r="D51" t="s">
        <v>489</v>
      </c>
      <c r="E51" t="s">
        <v>489</v>
      </c>
      <c r="F51" t="s">
        <v>489</v>
      </c>
    </row>
    <row r="52" spans="1:6" x14ac:dyDescent="0.25">
      <c r="A52" t="s">
        <v>538</v>
      </c>
      <c r="B52" t="s">
        <v>522</v>
      </c>
      <c r="C52" t="s">
        <v>523</v>
      </c>
      <c r="D52" t="s">
        <v>489</v>
      </c>
      <c r="E52" t="s">
        <v>489</v>
      </c>
      <c r="F52" t="s">
        <v>489</v>
      </c>
    </row>
    <row r="53" spans="1:6" x14ac:dyDescent="0.25">
      <c r="A53" t="s">
        <v>493</v>
      </c>
      <c r="B53" t="s">
        <v>498</v>
      </c>
      <c r="C53" t="s">
        <v>523</v>
      </c>
      <c r="D53" t="s">
        <v>523</v>
      </c>
      <c r="E53" t="s">
        <v>523</v>
      </c>
      <c r="F53" t="s">
        <v>523</v>
      </c>
    </row>
    <row r="54" spans="1:6" x14ac:dyDescent="0.25">
      <c r="A54" t="s">
        <v>539</v>
      </c>
      <c r="B54" t="s">
        <v>522</v>
      </c>
      <c r="C54" t="s">
        <v>523</v>
      </c>
      <c r="D54" t="s">
        <v>489</v>
      </c>
      <c r="E54" t="s">
        <v>489</v>
      </c>
      <c r="F54" t="s">
        <v>489</v>
      </c>
    </row>
    <row r="55" spans="1:6" x14ac:dyDescent="0.25">
      <c r="A55" t="s">
        <v>561</v>
      </c>
      <c r="B55" t="s">
        <v>522</v>
      </c>
      <c r="C55" t="s">
        <v>523</v>
      </c>
      <c r="D55" t="s">
        <v>489</v>
      </c>
      <c r="E55" t="s">
        <v>489</v>
      </c>
      <c r="F55" t="s">
        <v>489</v>
      </c>
    </row>
    <row r="56" spans="1:6" x14ac:dyDescent="0.25">
      <c r="A56" t="s">
        <v>562</v>
      </c>
      <c r="B56" t="s">
        <v>522</v>
      </c>
      <c r="C56" t="s">
        <v>523</v>
      </c>
      <c r="D56" t="s">
        <v>489</v>
      </c>
      <c r="E56" t="s">
        <v>489</v>
      </c>
      <c r="F56" t="s">
        <v>489</v>
      </c>
    </row>
    <row r="57" spans="1:6" x14ac:dyDescent="0.25">
      <c r="A57" t="s">
        <v>540</v>
      </c>
      <c r="B57" t="s">
        <v>522</v>
      </c>
      <c r="C57" t="s">
        <v>523</v>
      </c>
      <c r="D57" t="s">
        <v>489</v>
      </c>
      <c r="E57" t="s">
        <v>489</v>
      </c>
      <c r="F57" t="s">
        <v>489</v>
      </c>
    </row>
    <row r="58" spans="1:6" x14ac:dyDescent="0.25">
      <c r="A58" t="s">
        <v>563</v>
      </c>
      <c r="B58" t="s">
        <v>522</v>
      </c>
      <c r="C58" t="s">
        <v>523</v>
      </c>
      <c r="D58" t="s">
        <v>489</v>
      </c>
      <c r="E58" t="s">
        <v>489</v>
      </c>
      <c r="F58" t="s">
        <v>489</v>
      </c>
    </row>
    <row r="59" spans="1:6" x14ac:dyDescent="0.25">
      <c r="A59" t="s">
        <v>519</v>
      </c>
      <c r="B59" t="s">
        <v>521</v>
      </c>
      <c r="C59" t="s">
        <v>523</v>
      </c>
      <c r="D59" t="s">
        <v>489</v>
      </c>
      <c r="E59" t="s">
        <v>489</v>
      </c>
      <c r="F59" t="s">
        <v>489</v>
      </c>
    </row>
    <row r="60" spans="1:6" x14ac:dyDescent="0.25">
      <c r="A60" t="s">
        <v>490</v>
      </c>
      <c r="B60" t="s">
        <v>498</v>
      </c>
      <c r="C60" t="s">
        <v>523</v>
      </c>
      <c r="D60" t="s">
        <v>489</v>
      </c>
      <c r="E60" t="s">
        <v>489</v>
      </c>
      <c r="F60" t="s">
        <v>489</v>
      </c>
    </row>
    <row r="61" spans="1:6" x14ac:dyDescent="0.25">
      <c r="A61" t="s">
        <v>494</v>
      </c>
      <c r="B61" t="s">
        <v>498</v>
      </c>
      <c r="C61" t="s">
        <v>523</v>
      </c>
      <c r="D61" t="s">
        <v>489</v>
      </c>
      <c r="E61" t="s">
        <v>489</v>
      </c>
      <c r="F61" t="s">
        <v>489</v>
      </c>
    </row>
    <row r="62" spans="1:6" x14ac:dyDescent="0.25">
      <c r="A62" t="s">
        <v>541</v>
      </c>
      <c r="B62" t="s">
        <v>522</v>
      </c>
      <c r="C62" t="s">
        <v>523</v>
      </c>
      <c r="D62" t="s">
        <v>489</v>
      </c>
      <c r="E62" t="s">
        <v>489</v>
      </c>
      <c r="F62" t="s">
        <v>489</v>
      </c>
    </row>
    <row r="63" spans="1:6" x14ac:dyDescent="0.25">
      <c r="A63" t="s">
        <v>542</v>
      </c>
      <c r="B63" t="s">
        <v>522</v>
      </c>
      <c r="C63" t="s">
        <v>523</v>
      </c>
      <c r="D63" t="s">
        <v>489</v>
      </c>
      <c r="E63" t="s">
        <v>489</v>
      </c>
      <c r="F63" t="s">
        <v>489</v>
      </c>
    </row>
    <row r="64" spans="1:6" x14ac:dyDescent="0.25">
      <c r="A64" t="s">
        <v>543</v>
      </c>
      <c r="B64" t="s">
        <v>522</v>
      </c>
      <c r="C64" t="s">
        <v>523</v>
      </c>
      <c r="D64" t="s">
        <v>489</v>
      </c>
      <c r="E64" t="s">
        <v>489</v>
      </c>
      <c r="F64" t="s">
        <v>489</v>
      </c>
    </row>
    <row r="65" spans="1:6" x14ac:dyDescent="0.25">
      <c r="A65" t="s">
        <v>495</v>
      </c>
      <c r="B65" t="s">
        <v>498</v>
      </c>
      <c r="C65" t="s">
        <v>523</v>
      </c>
      <c r="D65" t="s">
        <v>523</v>
      </c>
      <c r="E65" t="s">
        <v>523</v>
      </c>
      <c r="F65" t="s">
        <v>523</v>
      </c>
    </row>
    <row r="66" spans="1:6" x14ac:dyDescent="0.25">
      <c r="A66" t="s">
        <v>567</v>
      </c>
      <c r="B66" t="s">
        <v>522</v>
      </c>
      <c r="C66" t="s">
        <v>523</v>
      </c>
      <c r="D66" t="s">
        <v>489</v>
      </c>
      <c r="E66" t="s">
        <v>489</v>
      </c>
      <c r="F66" t="s">
        <v>489</v>
      </c>
    </row>
    <row r="67" spans="1:6" x14ac:dyDescent="0.25">
      <c r="A67" t="s">
        <v>547</v>
      </c>
      <c r="B67" t="s">
        <v>522</v>
      </c>
      <c r="C67" t="s">
        <v>523</v>
      </c>
      <c r="D67" t="s">
        <v>489</v>
      </c>
      <c r="E67" t="s">
        <v>523</v>
      </c>
      <c r="F67" t="s">
        <v>523</v>
      </c>
    </row>
    <row r="68" spans="1:6" x14ac:dyDescent="0.25">
      <c r="A68" t="s">
        <v>550</v>
      </c>
      <c r="B68" t="s">
        <v>522</v>
      </c>
      <c r="C68" t="s">
        <v>523</v>
      </c>
      <c r="D68" t="s">
        <v>489</v>
      </c>
      <c r="E68" t="s">
        <v>523</v>
      </c>
      <c r="F68" t="s">
        <v>523</v>
      </c>
    </row>
    <row r="69" spans="1:6" x14ac:dyDescent="0.25">
      <c r="A69" t="s">
        <v>497</v>
      </c>
      <c r="B69" t="s">
        <v>498</v>
      </c>
      <c r="C69" t="s">
        <v>523</v>
      </c>
      <c r="D69" t="s">
        <v>523</v>
      </c>
      <c r="E69" t="s">
        <v>523</v>
      </c>
      <c r="F69" t="s">
        <v>523</v>
      </c>
    </row>
    <row r="70" spans="1:6" x14ac:dyDescent="0.25">
      <c r="A70" t="s">
        <v>552</v>
      </c>
      <c r="B70" t="s">
        <v>522</v>
      </c>
      <c r="C70" t="s">
        <v>523</v>
      </c>
      <c r="D70" t="s">
        <v>489</v>
      </c>
      <c r="E70" t="s">
        <v>523</v>
      </c>
      <c r="F70" t="s">
        <v>523</v>
      </c>
    </row>
    <row r="71" spans="1:6" x14ac:dyDescent="0.25">
      <c r="A71" t="s">
        <v>556</v>
      </c>
      <c r="B71" t="s">
        <v>522</v>
      </c>
      <c r="C71" t="s">
        <v>523</v>
      </c>
      <c r="D71" t="s">
        <v>489</v>
      </c>
      <c r="E71" t="s">
        <v>523</v>
      </c>
      <c r="F71" t="s">
        <v>523</v>
      </c>
    </row>
    <row r="72" spans="1:6" x14ac:dyDescent="0.25">
      <c r="A72" t="s">
        <v>559</v>
      </c>
      <c r="B72" t="s">
        <v>522</v>
      </c>
      <c r="C72" t="s">
        <v>523</v>
      </c>
      <c r="D72" t="s">
        <v>489</v>
      </c>
      <c r="E72" t="s">
        <v>523</v>
      </c>
      <c r="F72" t="s">
        <v>523</v>
      </c>
    </row>
    <row r="73" spans="1:6" x14ac:dyDescent="0.25">
      <c r="A73" t="s">
        <v>564</v>
      </c>
      <c r="B73" t="s">
        <v>522</v>
      </c>
      <c r="C73" t="s">
        <v>523</v>
      </c>
      <c r="D73" t="s">
        <v>489</v>
      </c>
      <c r="E73" t="s">
        <v>523</v>
      </c>
      <c r="F73" t="s">
        <v>523</v>
      </c>
    </row>
    <row r="74" spans="1:6" x14ac:dyDescent="0.25">
      <c r="A74" t="s">
        <v>565</v>
      </c>
      <c r="B74" t="s">
        <v>522</v>
      </c>
      <c r="C74" t="s">
        <v>523</v>
      </c>
      <c r="D74" t="s">
        <v>489</v>
      </c>
      <c r="E74" t="s">
        <v>523</v>
      </c>
      <c r="F74" t="s">
        <v>523</v>
      </c>
    </row>
    <row r="75" spans="1:6" x14ac:dyDescent="0.25">
      <c r="A75" t="s">
        <v>566</v>
      </c>
      <c r="B75" t="s">
        <v>522</v>
      </c>
      <c r="C75" t="s">
        <v>523</v>
      </c>
      <c r="D75" t="s">
        <v>489</v>
      </c>
      <c r="E75" t="s">
        <v>523</v>
      </c>
      <c r="F75" t="s">
        <v>523</v>
      </c>
    </row>
  </sheetData>
  <sortState xmlns:xlrd2="http://schemas.microsoft.com/office/spreadsheetml/2017/richdata2" ref="A2:E75">
    <sortCondition ref="D1:D75"/>
  </sortState>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Q45"/>
  <sheetViews>
    <sheetView tabSelected="1" topLeftCell="D1" zoomScale="70" zoomScaleNormal="70" workbookViewId="0">
      <pane ySplit="1" topLeftCell="A2" activePane="bottomLeft" state="frozen"/>
      <selection pane="bottomLeft" activeCell="X20" sqref="X20"/>
    </sheetView>
  </sheetViews>
  <sheetFormatPr defaultRowHeight="15" x14ac:dyDescent="0.25"/>
  <cols>
    <col min="1" max="1" width="9.140625" style="8"/>
    <col min="2" max="3" width="104" style="8" customWidth="1"/>
    <col min="4" max="4" width="9.140625" style="8" customWidth="1"/>
    <col min="5" max="6" width="29.85546875" style="8" customWidth="1"/>
    <col min="7" max="7" width="21" style="8" customWidth="1"/>
    <col min="8" max="8" width="86.5703125" style="8" customWidth="1"/>
    <col min="9" max="9" width="26.85546875" style="8" customWidth="1"/>
    <col min="10" max="10" width="35" style="8" customWidth="1"/>
    <col min="11" max="11" width="30.42578125" style="8" customWidth="1"/>
    <col min="12" max="12" width="37.85546875" style="8" customWidth="1"/>
    <col min="13" max="13" width="29.140625" style="8" customWidth="1"/>
    <col min="14" max="14" width="18.85546875" style="8" customWidth="1"/>
  </cols>
  <sheetData>
    <row r="1" spans="1:17" x14ac:dyDescent="0.25">
      <c r="A1" s="8" t="s">
        <v>454</v>
      </c>
      <c r="B1" s="10" t="s">
        <v>210</v>
      </c>
      <c r="C1" s="11" t="s">
        <v>770</v>
      </c>
      <c r="D1" s="10" t="s">
        <v>209</v>
      </c>
      <c r="E1" s="10" t="s">
        <v>0</v>
      </c>
      <c r="F1" s="11" t="s">
        <v>1</v>
      </c>
      <c r="G1" s="10" t="s">
        <v>2</v>
      </c>
      <c r="H1" s="11" t="s">
        <v>638</v>
      </c>
      <c r="I1" s="11" t="s">
        <v>639</v>
      </c>
      <c r="J1" s="11" t="s">
        <v>640</v>
      </c>
      <c r="K1" s="11" t="s">
        <v>641</v>
      </c>
      <c r="L1" s="11" t="s">
        <v>642</v>
      </c>
      <c r="M1" s="11" t="s">
        <v>643</v>
      </c>
      <c r="N1" s="12" t="s">
        <v>166</v>
      </c>
      <c r="O1" s="8" t="s">
        <v>635</v>
      </c>
    </row>
    <row r="2" spans="1:17" x14ac:dyDescent="0.25">
      <c r="A2">
        <v>1</v>
      </c>
      <c r="B2" t="s">
        <v>496</v>
      </c>
      <c r="C2" t="s">
        <v>726</v>
      </c>
      <c r="D2">
        <v>2024</v>
      </c>
      <c r="E2" t="s">
        <v>176</v>
      </c>
      <c r="F2" t="s">
        <v>255</v>
      </c>
      <c r="G2" t="s">
        <v>333</v>
      </c>
      <c r="H2" t="s">
        <v>723</v>
      </c>
      <c r="I2" t="s">
        <v>178</v>
      </c>
      <c r="J2" t="s">
        <v>177</v>
      </c>
      <c r="K2" t="s">
        <v>465</v>
      </c>
      <c r="L2" t="s">
        <v>179</v>
      </c>
      <c r="M2" t="s">
        <v>180</v>
      </c>
      <c r="N2" t="s">
        <v>181</v>
      </c>
      <c r="O2" t="s">
        <v>635</v>
      </c>
      <c r="P2" s="13" t="s">
        <v>636</v>
      </c>
      <c r="Q2" s="13" t="s">
        <v>637</v>
      </c>
    </row>
    <row r="3" spans="1:17" x14ac:dyDescent="0.25">
      <c r="A3">
        <v>2</v>
      </c>
      <c r="B3" t="s">
        <v>492</v>
      </c>
      <c r="C3" t="s">
        <v>727</v>
      </c>
      <c r="D3">
        <v>2025</v>
      </c>
      <c r="E3" t="s">
        <v>171</v>
      </c>
      <c r="F3" t="s">
        <v>204</v>
      </c>
      <c r="G3" t="s">
        <v>207</v>
      </c>
      <c r="H3" t="s">
        <v>394</v>
      </c>
      <c r="I3" t="s">
        <v>165</v>
      </c>
      <c r="J3" t="s">
        <v>3</v>
      </c>
      <c r="K3" t="s">
        <v>4</v>
      </c>
      <c r="L3" t="s">
        <v>5</v>
      </c>
      <c r="M3" t="s">
        <v>6</v>
      </c>
      <c r="N3" t="s">
        <v>203</v>
      </c>
      <c r="O3" t="s">
        <v>635</v>
      </c>
      <c r="P3">
        <v>2022</v>
      </c>
      <c r="Q3">
        <f>COUNTIF($D$2:$D$45,P3)</f>
        <v>1</v>
      </c>
    </row>
    <row r="4" spans="1:17" x14ac:dyDescent="0.25">
      <c r="A4">
        <v>3</v>
      </c>
      <c r="B4" t="s">
        <v>527</v>
      </c>
      <c r="C4" t="s">
        <v>728</v>
      </c>
      <c r="D4">
        <v>2023</v>
      </c>
      <c r="E4" t="s">
        <v>28</v>
      </c>
      <c r="F4" t="s">
        <v>29</v>
      </c>
      <c r="G4" t="s">
        <v>206</v>
      </c>
      <c r="H4" t="s">
        <v>395</v>
      </c>
      <c r="I4" t="s">
        <v>30</v>
      </c>
      <c r="J4" t="s">
        <v>31</v>
      </c>
      <c r="K4" t="s">
        <v>32</v>
      </c>
      <c r="L4" t="s">
        <v>33</v>
      </c>
      <c r="M4" t="s">
        <v>34</v>
      </c>
      <c r="N4" t="s">
        <v>773</v>
      </c>
      <c r="O4" t="s">
        <v>635</v>
      </c>
      <c r="P4">
        <v>2023</v>
      </c>
      <c r="Q4">
        <f>COUNTIF($D$2:$D$45,P4)</f>
        <v>11</v>
      </c>
    </row>
    <row r="5" spans="1:17" x14ac:dyDescent="0.25">
      <c r="A5">
        <v>4</v>
      </c>
      <c r="B5" t="s">
        <v>528</v>
      </c>
      <c r="C5" t="s">
        <v>729</v>
      </c>
      <c r="D5">
        <v>2023</v>
      </c>
      <c r="E5" t="s">
        <v>35</v>
      </c>
      <c r="F5" t="s">
        <v>36</v>
      </c>
      <c r="G5" t="s">
        <v>334</v>
      </c>
      <c r="H5" t="s">
        <v>365</v>
      </c>
      <c r="I5" t="s">
        <v>37</v>
      </c>
      <c r="J5" t="s">
        <v>38</v>
      </c>
      <c r="K5" t="s">
        <v>39</v>
      </c>
      <c r="L5" t="s">
        <v>40</v>
      </c>
      <c r="M5" t="s">
        <v>41</v>
      </c>
      <c r="N5" t="s">
        <v>175</v>
      </c>
      <c r="O5" t="s">
        <v>635</v>
      </c>
      <c r="P5">
        <v>2024</v>
      </c>
      <c r="Q5">
        <f>COUNTIF($D$2:$D$45,P5)</f>
        <v>22</v>
      </c>
    </row>
    <row r="6" spans="1:17" x14ac:dyDescent="0.25">
      <c r="A6">
        <v>5</v>
      </c>
      <c r="B6" t="s">
        <v>548</v>
      </c>
      <c r="C6" t="s">
        <v>750</v>
      </c>
      <c r="D6">
        <v>2025</v>
      </c>
      <c r="E6" t="s">
        <v>644</v>
      </c>
      <c r="F6" t="s">
        <v>716</v>
      </c>
      <c r="G6" t="s">
        <v>645</v>
      </c>
      <c r="H6" t="s">
        <v>646</v>
      </c>
      <c r="I6" t="s">
        <v>774</v>
      </c>
      <c r="J6" t="s">
        <v>775</v>
      </c>
      <c r="K6" t="s">
        <v>776</v>
      </c>
      <c r="L6" t="s">
        <v>647</v>
      </c>
      <c r="M6" t="s">
        <v>648</v>
      </c>
      <c r="N6" t="s">
        <v>649</v>
      </c>
      <c r="O6" t="s">
        <v>635</v>
      </c>
      <c r="P6">
        <v>2025</v>
      </c>
      <c r="Q6">
        <f>COUNTIF($D$2:$D$45,P6)</f>
        <v>10</v>
      </c>
    </row>
    <row r="7" spans="1:17" x14ac:dyDescent="0.25">
      <c r="A7">
        <v>6</v>
      </c>
      <c r="B7" t="s">
        <v>549</v>
      </c>
      <c r="C7" t="s">
        <v>751</v>
      </c>
      <c r="D7">
        <v>2024</v>
      </c>
      <c r="E7" t="s">
        <v>772</v>
      </c>
      <c r="F7" t="s">
        <v>658</v>
      </c>
      <c r="G7" t="s">
        <v>650</v>
      </c>
      <c r="H7" t="s">
        <v>651</v>
      </c>
      <c r="I7" t="s">
        <v>652</v>
      </c>
      <c r="J7" t="s">
        <v>653</v>
      </c>
      <c r="K7" t="s">
        <v>654</v>
      </c>
      <c r="L7" t="s">
        <v>655</v>
      </c>
      <c r="M7" t="s">
        <v>656</v>
      </c>
      <c r="N7" t="s">
        <v>657</v>
      </c>
      <c r="O7" t="s">
        <v>635</v>
      </c>
      <c r="Q7" s="13"/>
    </row>
    <row r="8" spans="1:17" x14ac:dyDescent="0.25">
      <c r="A8">
        <v>7</v>
      </c>
      <c r="B8" t="s">
        <v>771</v>
      </c>
      <c r="C8" t="s">
        <v>730</v>
      </c>
      <c r="D8">
        <v>2023</v>
      </c>
      <c r="E8" t="s">
        <v>42</v>
      </c>
      <c r="F8" t="s">
        <v>43</v>
      </c>
      <c r="G8" t="s">
        <v>208</v>
      </c>
      <c r="H8" t="s">
        <v>375</v>
      </c>
      <c r="I8" t="s">
        <v>44</v>
      </c>
      <c r="J8" t="s">
        <v>45</v>
      </c>
      <c r="K8" t="s">
        <v>46</v>
      </c>
      <c r="L8" t="s">
        <v>47</v>
      </c>
      <c r="M8" t="s">
        <v>48</v>
      </c>
      <c r="N8" t="s">
        <v>167</v>
      </c>
      <c r="O8" t="s">
        <v>635</v>
      </c>
    </row>
    <row r="9" spans="1:17" x14ac:dyDescent="0.25">
      <c r="A9">
        <v>8</v>
      </c>
      <c r="B9" t="s">
        <v>505</v>
      </c>
      <c r="C9" t="s">
        <v>762</v>
      </c>
      <c r="D9">
        <v>2024</v>
      </c>
      <c r="E9" t="s">
        <v>145</v>
      </c>
      <c r="F9" t="s">
        <v>710</v>
      </c>
      <c r="G9" t="s">
        <v>335</v>
      </c>
      <c r="H9" t="s">
        <v>353</v>
      </c>
      <c r="I9" t="s">
        <v>146</v>
      </c>
      <c r="J9" t="s">
        <v>201</v>
      </c>
      <c r="K9" t="s">
        <v>202</v>
      </c>
      <c r="L9" t="s">
        <v>147</v>
      </c>
      <c r="M9" t="s">
        <v>148</v>
      </c>
      <c r="N9" t="s">
        <v>777</v>
      </c>
      <c r="O9" t="s">
        <v>635</v>
      </c>
    </row>
    <row r="10" spans="1:17" x14ac:dyDescent="0.25">
      <c r="A10">
        <v>9</v>
      </c>
      <c r="B10" t="s">
        <v>551</v>
      </c>
      <c r="C10" t="s">
        <v>752</v>
      </c>
      <c r="D10">
        <v>2024</v>
      </c>
      <c r="E10" t="s">
        <v>659</v>
      </c>
      <c r="F10" t="s">
        <v>667</v>
      </c>
      <c r="G10" t="s">
        <v>668</v>
      </c>
      <c r="H10" t="s">
        <v>660</v>
      </c>
      <c r="I10" t="s">
        <v>661</v>
      </c>
      <c r="J10" t="s">
        <v>662</v>
      </c>
      <c r="K10" t="s">
        <v>663</v>
      </c>
      <c r="L10" t="s">
        <v>664</v>
      </c>
      <c r="M10" t="s">
        <v>665</v>
      </c>
      <c r="N10" t="s">
        <v>666</v>
      </c>
      <c r="O10" t="s">
        <v>635</v>
      </c>
    </row>
    <row r="11" spans="1:17" x14ac:dyDescent="0.25">
      <c r="A11">
        <v>10</v>
      </c>
      <c r="B11" t="s">
        <v>516</v>
      </c>
      <c r="C11" t="s">
        <v>763</v>
      </c>
      <c r="D11">
        <v>2025</v>
      </c>
      <c r="E11" t="s">
        <v>149</v>
      </c>
      <c r="F11" t="s">
        <v>150</v>
      </c>
      <c r="G11" t="s">
        <v>336</v>
      </c>
      <c r="H11" t="s">
        <v>359</v>
      </c>
      <c r="I11" t="s">
        <v>455</v>
      </c>
      <c r="J11" t="s">
        <v>461</v>
      </c>
      <c r="K11" t="s">
        <v>189</v>
      </c>
      <c r="L11" t="s">
        <v>474</v>
      </c>
      <c r="M11" t="s">
        <v>477</v>
      </c>
      <c r="N11" t="s">
        <v>184</v>
      </c>
      <c r="O11" t="s">
        <v>635</v>
      </c>
    </row>
    <row r="12" spans="1:17" s="2" customFormat="1" x14ac:dyDescent="0.25">
      <c r="A12">
        <v>11</v>
      </c>
      <c r="B12" t="s">
        <v>530</v>
      </c>
      <c r="C12" t="s">
        <v>731</v>
      </c>
      <c r="D12">
        <v>2024</v>
      </c>
      <c r="E12" t="s">
        <v>149</v>
      </c>
      <c r="F12" t="s">
        <v>712</v>
      </c>
      <c r="G12" t="s">
        <v>434</v>
      </c>
      <c r="H12" t="s">
        <v>362</v>
      </c>
      <c r="I12" t="s">
        <v>49</v>
      </c>
      <c r="J12" t="s">
        <v>50</v>
      </c>
      <c r="K12" t="s">
        <v>51</v>
      </c>
      <c r="L12" t="s">
        <v>52</v>
      </c>
      <c r="M12" t="s">
        <v>53</v>
      </c>
      <c r="N12" t="s">
        <v>170</v>
      </c>
      <c r="O12" t="s">
        <v>635</v>
      </c>
    </row>
    <row r="13" spans="1:17" x14ac:dyDescent="0.25">
      <c r="A13">
        <v>12</v>
      </c>
      <c r="B13" t="s">
        <v>512</v>
      </c>
      <c r="C13" t="s">
        <v>764</v>
      </c>
      <c r="D13">
        <v>2024</v>
      </c>
      <c r="E13" t="s">
        <v>151</v>
      </c>
      <c r="F13" t="s">
        <v>152</v>
      </c>
      <c r="G13" t="s">
        <v>435</v>
      </c>
      <c r="H13" t="s">
        <v>153</v>
      </c>
      <c r="I13" t="s">
        <v>456</v>
      </c>
      <c r="J13" t="s">
        <v>462</v>
      </c>
      <c r="K13" t="s">
        <v>466</v>
      </c>
      <c r="L13" t="s">
        <v>475</v>
      </c>
      <c r="M13" t="s">
        <v>478</v>
      </c>
      <c r="N13" t="s">
        <v>173</v>
      </c>
      <c r="O13" t="s">
        <v>635</v>
      </c>
    </row>
    <row r="14" spans="1:17" x14ac:dyDescent="0.25">
      <c r="A14">
        <v>13</v>
      </c>
      <c r="B14" t="s">
        <v>553</v>
      </c>
      <c r="C14" t="s">
        <v>753</v>
      </c>
      <c r="D14">
        <v>2024</v>
      </c>
      <c r="E14" t="s">
        <v>669</v>
      </c>
      <c r="F14" t="s">
        <v>676</v>
      </c>
      <c r="G14" t="s">
        <v>677</v>
      </c>
      <c r="H14" t="s">
        <v>678</v>
      </c>
      <c r="I14" t="s">
        <v>670</v>
      </c>
      <c r="J14" t="s">
        <v>671</v>
      </c>
      <c r="K14" t="s">
        <v>672</v>
      </c>
      <c r="L14" t="s">
        <v>673</v>
      </c>
      <c r="M14" t="s">
        <v>674</v>
      </c>
      <c r="N14" t="s">
        <v>675</v>
      </c>
      <c r="O14" t="s">
        <v>635</v>
      </c>
    </row>
    <row r="15" spans="1:17" x14ac:dyDescent="0.25">
      <c r="A15">
        <v>14</v>
      </c>
      <c r="B15" t="s">
        <v>514</v>
      </c>
      <c r="C15" t="s">
        <v>765</v>
      </c>
      <c r="D15">
        <v>2023</v>
      </c>
      <c r="E15" t="s">
        <v>154</v>
      </c>
      <c r="F15" t="s">
        <v>722</v>
      </c>
      <c r="G15" t="s">
        <v>436</v>
      </c>
      <c r="H15" t="s">
        <v>396</v>
      </c>
      <c r="I15" t="s">
        <v>457</v>
      </c>
      <c r="J15" t="s">
        <v>463</v>
      </c>
      <c r="K15" t="s">
        <v>467</v>
      </c>
      <c r="L15" t="s">
        <v>476</v>
      </c>
      <c r="M15" t="s">
        <v>479</v>
      </c>
      <c r="N15" t="s">
        <v>174</v>
      </c>
      <c r="O15" t="s">
        <v>635</v>
      </c>
    </row>
    <row r="16" spans="1:17" x14ac:dyDescent="0.25">
      <c r="A16">
        <v>15</v>
      </c>
      <c r="B16" t="s">
        <v>531</v>
      </c>
      <c r="C16" t="s">
        <v>732</v>
      </c>
      <c r="D16">
        <v>2023</v>
      </c>
      <c r="E16" t="s">
        <v>54</v>
      </c>
      <c r="F16" t="s">
        <v>713</v>
      </c>
      <c r="G16" t="s">
        <v>437</v>
      </c>
      <c r="H16" t="s">
        <v>354</v>
      </c>
      <c r="I16" t="s">
        <v>55</v>
      </c>
      <c r="J16" t="s">
        <v>56</v>
      </c>
      <c r="K16" t="s">
        <v>57</v>
      </c>
      <c r="L16" t="s">
        <v>58</v>
      </c>
      <c r="M16" t="s">
        <v>59</v>
      </c>
      <c r="N16" t="s">
        <v>205</v>
      </c>
      <c r="O16" t="s">
        <v>635</v>
      </c>
    </row>
    <row r="17" spans="1:15" x14ac:dyDescent="0.25">
      <c r="A17">
        <v>16</v>
      </c>
      <c r="B17" t="s">
        <v>554</v>
      </c>
      <c r="C17" t="s">
        <v>754</v>
      </c>
      <c r="D17">
        <v>2025</v>
      </c>
      <c r="E17" t="s">
        <v>679</v>
      </c>
      <c r="F17" t="s">
        <v>686</v>
      </c>
      <c r="G17" t="s">
        <v>687</v>
      </c>
      <c r="H17" t="s">
        <v>688</v>
      </c>
      <c r="I17" t="s">
        <v>680</v>
      </c>
      <c r="J17" t="s">
        <v>681</v>
      </c>
      <c r="K17" t="s">
        <v>682</v>
      </c>
      <c r="L17" t="s">
        <v>683</v>
      </c>
      <c r="M17" t="s">
        <v>684</v>
      </c>
      <c r="N17" t="s">
        <v>685</v>
      </c>
      <c r="O17" t="s">
        <v>635</v>
      </c>
    </row>
    <row r="18" spans="1:15" x14ac:dyDescent="0.25">
      <c r="A18">
        <v>17</v>
      </c>
      <c r="B18" t="s">
        <v>532</v>
      </c>
      <c r="C18" t="s">
        <v>733</v>
      </c>
      <c r="D18">
        <v>2024</v>
      </c>
      <c r="E18" t="s">
        <v>60</v>
      </c>
      <c r="F18" t="s">
        <v>61</v>
      </c>
      <c r="G18" t="s">
        <v>332</v>
      </c>
      <c r="H18" t="s">
        <v>397</v>
      </c>
      <c r="I18" t="s">
        <v>62</v>
      </c>
      <c r="J18" t="s">
        <v>63</v>
      </c>
      <c r="K18" t="s">
        <v>64</v>
      </c>
      <c r="L18" t="s">
        <v>65</v>
      </c>
      <c r="M18" t="s">
        <v>66</v>
      </c>
      <c r="N18" t="s">
        <v>187</v>
      </c>
      <c r="O18" t="s">
        <v>635</v>
      </c>
    </row>
    <row r="19" spans="1:15" x14ac:dyDescent="0.25">
      <c r="A19">
        <v>18</v>
      </c>
      <c r="B19" t="s">
        <v>555</v>
      </c>
      <c r="C19" t="s">
        <v>755</v>
      </c>
      <c r="D19">
        <v>2023</v>
      </c>
      <c r="E19" t="s">
        <v>689</v>
      </c>
      <c r="F19" t="s">
        <v>696</v>
      </c>
      <c r="G19" t="s">
        <v>697</v>
      </c>
      <c r="H19" t="s">
        <v>354</v>
      </c>
      <c r="I19" t="s">
        <v>690</v>
      </c>
      <c r="J19" t="s">
        <v>691</v>
      </c>
      <c r="K19" t="s">
        <v>692</v>
      </c>
      <c r="L19" t="s">
        <v>693</v>
      </c>
      <c r="M19" t="s">
        <v>694</v>
      </c>
      <c r="N19" t="s">
        <v>695</v>
      </c>
      <c r="O19" t="s">
        <v>635</v>
      </c>
    </row>
    <row r="20" spans="1:15" x14ac:dyDescent="0.25">
      <c r="A20">
        <v>19</v>
      </c>
      <c r="B20" t="s">
        <v>557</v>
      </c>
      <c r="C20" t="s">
        <v>756</v>
      </c>
      <c r="D20">
        <v>2024</v>
      </c>
      <c r="E20" t="s">
        <v>698</v>
      </c>
      <c r="F20" t="s">
        <v>706</v>
      </c>
      <c r="G20" t="s">
        <v>699</v>
      </c>
      <c r="H20" t="s">
        <v>583</v>
      </c>
      <c r="I20" t="s">
        <v>700</v>
      </c>
      <c r="J20" t="s">
        <v>701</v>
      </c>
      <c r="K20" t="s">
        <v>702</v>
      </c>
      <c r="L20" t="s">
        <v>703</v>
      </c>
      <c r="M20" t="s">
        <v>704</v>
      </c>
      <c r="N20" t="s">
        <v>705</v>
      </c>
      <c r="O20" t="s">
        <v>635</v>
      </c>
    </row>
    <row r="21" spans="1:15" x14ac:dyDescent="0.25">
      <c r="A21">
        <v>20</v>
      </c>
      <c r="B21" t="s">
        <v>513</v>
      </c>
      <c r="C21" t="s">
        <v>766</v>
      </c>
      <c r="D21">
        <v>2024</v>
      </c>
      <c r="E21" t="s">
        <v>155</v>
      </c>
      <c r="F21" t="s">
        <v>156</v>
      </c>
      <c r="G21" t="s">
        <v>438</v>
      </c>
      <c r="H21" t="s">
        <v>363</v>
      </c>
      <c r="I21" t="s">
        <v>458</v>
      </c>
      <c r="J21" t="s">
        <v>157</v>
      </c>
      <c r="K21" t="s">
        <v>468</v>
      </c>
      <c r="L21" t="s">
        <v>473</v>
      </c>
      <c r="M21" t="s">
        <v>480</v>
      </c>
      <c r="N21" t="s">
        <v>190</v>
      </c>
      <c r="O21" t="s">
        <v>635</v>
      </c>
    </row>
    <row r="22" spans="1:15" x14ac:dyDescent="0.25">
      <c r="A22">
        <v>21</v>
      </c>
      <c r="B22" t="s">
        <v>533</v>
      </c>
      <c r="C22" t="s">
        <v>734</v>
      </c>
      <c r="D22">
        <v>2024</v>
      </c>
      <c r="E22" t="s">
        <v>67</v>
      </c>
      <c r="F22" t="s">
        <v>720</v>
      </c>
      <c r="G22" t="s">
        <v>439</v>
      </c>
      <c r="H22" t="s">
        <v>366</v>
      </c>
      <c r="I22" t="s">
        <v>68</v>
      </c>
      <c r="J22" t="s">
        <v>69</v>
      </c>
      <c r="K22" t="s">
        <v>70</v>
      </c>
      <c r="L22" t="s">
        <v>71</v>
      </c>
      <c r="M22" t="s">
        <v>72</v>
      </c>
      <c r="N22" t="s">
        <v>186</v>
      </c>
      <c r="O22" t="s">
        <v>635</v>
      </c>
    </row>
    <row r="23" spans="1:15" x14ac:dyDescent="0.25">
      <c r="A23">
        <v>22</v>
      </c>
      <c r="B23" t="s">
        <v>534</v>
      </c>
      <c r="C23" t="s">
        <v>735</v>
      </c>
      <c r="D23">
        <v>2025</v>
      </c>
      <c r="E23" t="s">
        <v>73</v>
      </c>
      <c r="F23" t="s">
        <v>74</v>
      </c>
      <c r="G23" t="s">
        <v>440</v>
      </c>
      <c r="H23" t="s">
        <v>153</v>
      </c>
      <c r="I23" t="s">
        <v>75</v>
      </c>
      <c r="J23" t="s">
        <v>76</v>
      </c>
      <c r="K23" t="s">
        <v>77</v>
      </c>
      <c r="L23" t="s">
        <v>78</v>
      </c>
      <c r="M23" t="s">
        <v>79</v>
      </c>
      <c r="N23" t="s">
        <v>169</v>
      </c>
      <c r="O23" t="s">
        <v>635</v>
      </c>
    </row>
    <row r="24" spans="1:15" ht="14.25" customHeight="1" x14ac:dyDescent="0.25">
      <c r="A24">
        <v>23</v>
      </c>
      <c r="B24" t="s">
        <v>535</v>
      </c>
      <c r="C24" t="s">
        <v>736</v>
      </c>
      <c r="D24">
        <v>2024</v>
      </c>
      <c r="E24" t="s">
        <v>80</v>
      </c>
      <c r="F24" t="s">
        <v>81</v>
      </c>
      <c r="G24" t="s">
        <v>441</v>
      </c>
      <c r="H24" t="s">
        <v>364</v>
      </c>
      <c r="I24" t="s">
        <v>82</v>
      </c>
      <c r="J24" t="s">
        <v>298</v>
      </c>
      <c r="K24" t="s">
        <v>83</v>
      </c>
      <c r="L24" t="s">
        <v>84</v>
      </c>
      <c r="M24" t="s">
        <v>85</v>
      </c>
      <c r="N24" t="s">
        <v>778</v>
      </c>
      <c r="O24" t="s">
        <v>635</v>
      </c>
    </row>
    <row r="25" spans="1:15" x14ac:dyDescent="0.25">
      <c r="A25">
        <v>24</v>
      </c>
      <c r="B25" t="s">
        <v>536</v>
      </c>
      <c r="C25" t="s">
        <v>737</v>
      </c>
      <c r="D25">
        <v>2023</v>
      </c>
      <c r="E25" t="s">
        <v>86</v>
      </c>
      <c r="F25" t="s">
        <v>87</v>
      </c>
      <c r="G25" t="s">
        <v>442</v>
      </c>
      <c r="H25" t="s">
        <v>355</v>
      </c>
      <c r="I25" t="s">
        <v>88</v>
      </c>
      <c r="J25" t="s">
        <v>89</v>
      </c>
      <c r="K25" t="s">
        <v>90</v>
      </c>
      <c r="L25" t="s">
        <v>91</v>
      </c>
      <c r="M25" t="s">
        <v>92</v>
      </c>
      <c r="N25" t="s">
        <v>192</v>
      </c>
      <c r="O25" t="s">
        <v>635</v>
      </c>
    </row>
    <row r="26" spans="1:15" x14ac:dyDescent="0.25">
      <c r="A26">
        <v>25</v>
      </c>
      <c r="B26" t="s">
        <v>517</v>
      </c>
      <c r="C26" t="s">
        <v>767</v>
      </c>
      <c r="D26">
        <v>2024</v>
      </c>
      <c r="E26" t="s">
        <v>158</v>
      </c>
      <c r="F26" t="s">
        <v>159</v>
      </c>
      <c r="G26" t="s">
        <v>443</v>
      </c>
      <c r="H26" t="s">
        <v>354</v>
      </c>
      <c r="I26" t="s">
        <v>459</v>
      </c>
      <c r="J26" t="s">
        <v>157</v>
      </c>
      <c r="K26" t="s">
        <v>469</v>
      </c>
      <c r="L26" t="s">
        <v>472</v>
      </c>
      <c r="M26" t="s">
        <v>160</v>
      </c>
      <c r="N26" t="s">
        <v>198</v>
      </c>
      <c r="O26" t="s">
        <v>635</v>
      </c>
    </row>
    <row r="27" spans="1:15" x14ac:dyDescent="0.25">
      <c r="A27">
        <v>26</v>
      </c>
      <c r="B27" t="s">
        <v>558</v>
      </c>
      <c r="C27" t="s">
        <v>757</v>
      </c>
      <c r="D27">
        <v>2022</v>
      </c>
      <c r="E27" t="s">
        <v>572</v>
      </c>
      <c r="F27" t="s">
        <v>584</v>
      </c>
      <c r="G27" t="s">
        <v>573</v>
      </c>
      <c r="H27" t="s">
        <v>583</v>
      </c>
      <c r="I27" t="s">
        <v>574</v>
      </c>
      <c r="J27" t="s">
        <v>575</v>
      </c>
      <c r="K27" t="s">
        <v>576</v>
      </c>
      <c r="L27" t="s">
        <v>577</v>
      </c>
      <c r="M27" t="s">
        <v>578</v>
      </c>
      <c r="N27" t="s">
        <v>579</v>
      </c>
      <c r="O27" t="s">
        <v>635</v>
      </c>
    </row>
    <row r="28" spans="1:15" s="2" customFormat="1" x14ac:dyDescent="0.25">
      <c r="A28">
        <v>27</v>
      </c>
      <c r="B28" t="s">
        <v>491</v>
      </c>
      <c r="C28" t="s">
        <v>738</v>
      </c>
      <c r="D28">
        <v>2025</v>
      </c>
      <c r="E28" t="s">
        <v>200</v>
      </c>
      <c r="F28" t="s">
        <v>487</v>
      </c>
      <c r="G28" t="s">
        <v>444</v>
      </c>
      <c r="H28" t="s">
        <v>356</v>
      </c>
      <c r="I28" t="s">
        <v>7</v>
      </c>
      <c r="J28" t="s">
        <v>8</v>
      </c>
      <c r="K28" t="s">
        <v>9</v>
      </c>
      <c r="L28" t="s">
        <v>10</v>
      </c>
      <c r="M28" t="s">
        <v>11</v>
      </c>
      <c r="N28" t="s">
        <v>193</v>
      </c>
      <c r="O28" t="s">
        <v>635</v>
      </c>
    </row>
    <row r="29" spans="1:15" s="2" customFormat="1" x14ac:dyDescent="0.25">
      <c r="A29">
        <v>28</v>
      </c>
      <c r="B29" t="s">
        <v>12</v>
      </c>
      <c r="C29" t="s">
        <v>739</v>
      </c>
      <c r="D29">
        <v>2023</v>
      </c>
      <c r="E29" t="s">
        <v>199</v>
      </c>
      <c r="F29" t="s">
        <v>715</v>
      </c>
      <c r="G29" t="s">
        <v>445</v>
      </c>
      <c r="H29" t="s">
        <v>360</v>
      </c>
      <c r="I29" t="s">
        <v>13</v>
      </c>
      <c r="J29" t="s">
        <v>14</v>
      </c>
      <c r="K29" t="s">
        <v>15</v>
      </c>
      <c r="L29" t="s">
        <v>16</v>
      </c>
      <c r="M29" t="s">
        <v>17</v>
      </c>
      <c r="N29" t="s">
        <v>191</v>
      </c>
      <c r="O29" t="s">
        <v>635</v>
      </c>
    </row>
    <row r="30" spans="1:15" s="2" customFormat="1" x14ac:dyDescent="0.25">
      <c r="A30">
        <v>29</v>
      </c>
      <c r="B30" t="s">
        <v>537</v>
      </c>
      <c r="C30" t="s">
        <v>740</v>
      </c>
      <c r="D30">
        <v>2024</v>
      </c>
      <c r="E30" t="s">
        <v>93</v>
      </c>
      <c r="F30" t="s">
        <v>94</v>
      </c>
      <c r="G30" t="s">
        <v>446</v>
      </c>
      <c r="H30" t="s">
        <v>354</v>
      </c>
      <c r="I30" t="s">
        <v>95</v>
      </c>
      <c r="J30" t="s">
        <v>96</v>
      </c>
      <c r="K30" t="s">
        <v>97</v>
      </c>
      <c r="L30" t="s">
        <v>98</v>
      </c>
      <c r="M30" t="s">
        <v>99</v>
      </c>
      <c r="N30" t="s">
        <v>196</v>
      </c>
      <c r="O30" t="s">
        <v>635</v>
      </c>
    </row>
    <row r="31" spans="1:15" s="2" customFormat="1" x14ac:dyDescent="0.25">
      <c r="A31">
        <v>30</v>
      </c>
      <c r="B31" t="s">
        <v>560</v>
      </c>
      <c r="C31" t="s">
        <v>758</v>
      </c>
      <c r="D31">
        <v>2023</v>
      </c>
      <c r="E31" t="s">
        <v>585</v>
      </c>
      <c r="F31" t="s">
        <v>721</v>
      </c>
      <c r="G31" t="s">
        <v>586</v>
      </c>
      <c r="H31" t="s">
        <v>394</v>
      </c>
      <c r="I31" t="s">
        <v>588</v>
      </c>
      <c r="J31" t="s">
        <v>587</v>
      </c>
      <c r="K31" t="s">
        <v>589</v>
      </c>
      <c r="L31" t="s">
        <v>590</v>
      </c>
      <c r="M31" t="s">
        <v>591</v>
      </c>
      <c r="N31" t="s">
        <v>605</v>
      </c>
      <c r="O31" t="s">
        <v>635</v>
      </c>
    </row>
    <row r="32" spans="1:15" x14ac:dyDescent="0.25">
      <c r="A32">
        <v>31</v>
      </c>
      <c r="B32" t="s">
        <v>520</v>
      </c>
      <c r="C32" t="s">
        <v>768</v>
      </c>
      <c r="D32">
        <v>2024</v>
      </c>
      <c r="E32" t="s">
        <v>161</v>
      </c>
      <c r="F32" t="s">
        <v>162</v>
      </c>
      <c r="G32" t="s">
        <v>447</v>
      </c>
      <c r="H32" t="s">
        <v>163</v>
      </c>
      <c r="I32" t="s">
        <v>460</v>
      </c>
      <c r="J32" t="s">
        <v>464</v>
      </c>
      <c r="K32" t="s">
        <v>470</v>
      </c>
      <c r="L32" t="s">
        <v>471</v>
      </c>
      <c r="M32" t="s">
        <v>481</v>
      </c>
      <c r="N32" t="s">
        <v>185</v>
      </c>
      <c r="O32" t="s">
        <v>635</v>
      </c>
    </row>
    <row r="33" spans="1:15" x14ac:dyDescent="0.25">
      <c r="A33">
        <v>32</v>
      </c>
      <c r="B33" t="s">
        <v>538</v>
      </c>
      <c r="C33" t="s">
        <v>741</v>
      </c>
      <c r="D33">
        <v>2025</v>
      </c>
      <c r="E33" t="s">
        <v>100</v>
      </c>
      <c r="F33" t="s">
        <v>101</v>
      </c>
      <c r="G33" t="s">
        <v>448</v>
      </c>
      <c r="H33" t="s">
        <v>211</v>
      </c>
      <c r="I33" t="s">
        <v>102</v>
      </c>
      <c r="J33" t="s">
        <v>103</v>
      </c>
      <c r="K33" t="s">
        <v>104</v>
      </c>
      <c r="L33" t="s">
        <v>105</v>
      </c>
      <c r="M33" t="s">
        <v>106</v>
      </c>
      <c r="N33" t="s">
        <v>182</v>
      </c>
      <c r="O33" t="s">
        <v>635</v>
      </c>
    </row>
    <row r="34" spans="1:15" x14ac:dyDescent="0.25">
      <c r="A34">
        <v>33</v>
      </c>
      <c r="B34" t="s">
        <v>539</v>
      </c>
      <c r="C34" t="s">
        <v>742</v>
      </c>
      <c r="D34">
        <v>2024</v>
      </c>
      <c r="E34" t="s">
        <v>107</v>
      </c>
      <c r="F34" t="s">
        <v>108</v>
      </c>
      <c r="G34" t="s">
        <v>449</v>
      </c>
      <c r="H34" t="s">
        <v>211</v>
      </c>
      <c r="I34" t="s">
        <v>109</v>
      </c>
      <c r="J34" t="s">
        <v>110</v>
      </c>
      <c r="K34" t="s">
        <v>111</v>
      </c>
      <c r="L34" t="s">
        <v>112</v>
      </c>
      <c r="M34" t="s">
        <v>113</v>
      </c>
      <c r="N34" t="s">
        <v>168</v>
      </c>
      <c r="O34" t="s">
        <v>635</v>
      </c>
    </row>
    <row r="35" spans="1:15" x14ac:dyDescent="0.25">
      <c r="A35">
        <v>34</v>
      </c>
      <c r="B35" t="s">
        <v>561</v>
      </c>
      <c r="C35" t="s">
        <v>759</v>
      </c>
      <c r="D35">
        <v>2023</v>
      </c>
      <c r="E35" t="s">
        <v>594</v>
      </c>
      <c r="F35" t="s">
        <v>593</v>
      </c>
      <c r="G35" t="s">
        <v>595</v>
      </c>
      <c r="H35" t="s">
        <v>596</v>
      </c>
      <c r="I35" t="s">
        <v>599</v>
      </c>
      <c r="J35" t="s">
        <v>600</v>
      </c>
      <c r="K35" t="s">
        <v>601</v>
      </c>
      <c r="L35" t="s">
        <v>602</v>
      </c>
      <c r="M35" t="s">
        <v>603</v>
      </c>
      <c r="N35" t="s">
        <v>604</v>
      </c>
      <c r="O35" t="s">
        <v>635</v>
      </c>
    </row>
    <row r="36" spans="1:15" x14ac:dyDescent="0.25">
      <c r="A36">
        <v>35</v>
      </c>
      <c r="B36" t="s">
        <v>562</v>
      </c>
      <c r="C36" t="s">
        <v>760</v>
      </c>
      <c r="D36">
        <v>2024</v>
      </c>
      <c r="E36" t="s">
        <v>610</v>
      </c>
      <c r="F36" t="s">
        <v>717</v>
      </c>
      <c r="G36" t="s">
        <v>622</v>
      </c>
      <c r="H36" t="s">
        <v>623</v>
      </c>
      <c r="I36" t="s">
        <v>611</v>
      </c>
      <c r="J36" t="s">
        <v>612</v>
      </c>
      <c r="K36" t="s">
        <v>613</v>
      </c>
      <c r="L36" t="s">
        <v>614</v>
      </c>
      <c r="M36" t="s">
        <v>615</v>
      </c>
      <c r="N36" t="s">
        <v>616</v>
      </c>
      <c r="O36" t="s">
        <v>635</v>
      </c>
    </row>
    <row r="37" spans="1:15" x14ac:dyDescent="0.25">
      <c r="A37">
        <v>36</v>
      </c>
      <c r="B37" t="s">
        <v>540</v>
      </c>
      <c r="C37" t="s">
        <v>743</v>
      </c>
      <c r="D37">
        <v>2024</v>
      </c>
      <c r="E37" t="s">
        <v>114</v>
      </c>
      <c r="F37" t="s">
        <v>711</v>
      </c>
      <c r="G37" t="s">
        <v>450</v>
      </c>
      <c r="H37" t="s">
        <v>358</v>
      </c>
      <c r="I37" t="s">
        <v>115</v>
      </c>
      <c r="J37" t="s">
        <v>116</v>
      </c>
      <c r="K37" t="s">
        <v>117</v>
      </c>
      <c r="L37" t="s">
        <v>118</v>
      </c>
      <c r="M37" t="s">
        <v>119</v>
      </c>
      <c r="N37" t="s">
        <v>779</v>
      </c>
      <c r="O37" t="s">
        <v>635</v>
      </c>
    </row>
    <row r="38" spans="1:15" x14ac:dyDescent="0.25">
      <c r="A38">
        <v>37</v>
      </c>
      <c r="B38" t="s">
        <v>563</v>
      </c>
      <c r="C38" t="s">
        <v>744</v>
      </c>
      <c r="D38">
        <v>2024</v>
      </c>
      <c r="E38" t="s">
        <v>164</v>
      </c>
      <c r="F38" t="s">
        <v>714</v>
      </c>
      <c r="G38" t="s">
        <v>212</v>
      </c>
      <c r="H38" t="s">
        <v>361</v>
      </c>
      <c r="I38" t="s">
        <v>213</v>
      </c>
      <c r="J38" t="s">
        <v>214</v>
      </c>
      <c r="K38" t="s">
        <v>215</v>
      </c>
      <c r="L38" t="s">
        <v>216</v>
      </c>
      <c r="M38" t="s">
        <v>217</v>
      </c>
      <c r="N38" t="s">
        <v>218</v>
      </c>
      <c r="O38" t="s">
        <v>635</v>
      </c>
    </row>
    <row r="39" spans="1:15" x14ac:dyDescent="0.25">
      <c r="A39">
        <v>38</v>
      </c>
      <c r="B39" t="s">
        <v>519</v>
      </c>
      <c r="C39" t="s">
        <v>769</v>
      </c>
      <c r="D39">
        <v>2024</v>
      </c>
      <c r="E39" t="s">
        <v>254</v>
      </c>
      <c r="F39" t="s">
        <v>188</v>
      </c>
      <c r="G39" t="s">
        <v>451</v>
      </c>
      <c r="H39" t="s">
        <v>354</v>
      </c>
      <c r="I39" t="s">
        <v>18</v>
      </c>
      <c r="J39" t="s">
        <v>19</v>
      </c>
      <c r="K39" t="s">
        <v>20</v>
      </c>
      <c r="L39" t="s">
        <v>21</v>
      </c>
      <c r="M39" t="s">
        <v>22</v>
      </c>
      <c r="N39" t="s">
        <v>183</v>
      </c>
      <c r="O39" t="s">
        <v>635</v>
      </c>
    </row>
    <row r="40" spans="1:15" x14ac:dyDescent="0.25">
      <c r="A40">
        <v>39</v>
      </c>
      <c r="B40" t="s">
        <v>490</v>
      </c>
      <c r="C40" t="s">
        <v>745</v>
      </c>
      <c r="D40">
        <v>2025</v>
      </c>
      <c r="E40" t="s">
        <v>120</v>
      </c>
      <c r="F40" t="s">
        <v>121</v>
      </c>
      <c r="G40" t="s">
        <v>452</v>
      </c>
      <c r="H40" t="s">
        <v>357</v>
      </c>
      <c r="I40" t="s">
        <v>122</v>
      </c>
      <c r="J40" t="s">
        <v>123</v>
      </c>
      <c r="K40" t="s">
        <v>124</v>
      </c>
      <c r="L40" t="s">
        <v>125</v>
      </c>
      <c r="M40" t="s">
        <v>126</v>
      </c>
      <c r="N40" t="s">
        <v>197</v>
      </c>
      <c r="O40" t="s">
        <v>635</v>
      </c>
    </row>
    <row r="41" spans="1:15" x14ac:dyDescent="0.25">
      <c r="A41">
        <v>40</v>
      </c>
      <c r="B41" t="s">
        <v>494</v>
      </c>
      <c r="C41" t="s">
        <v>746</v>
      </c>
      <c r="D41">
        <v>2024</v>
      </c>
      <c r="E41" t="s">
        <v>23</v>
      </c>
      <c r="F41" t="s">
        <v>24</v>
      </c>
      <c r="G41" t="s">
        <v>453</v>
      </c>
      <c r="H41" t="s">
        <v>367</v>
      </c>
      <c r="I41" t="s">
        <v>25</v>
      </c>
      <c r="J41" t="s">
        <v>26</v>
      </c>
      <c r="K41" t="s">
        <v>27</v>
      </c>
      <c r="L41" t="s">
        <v>482</v>
      </c>
      <c r="M41" t="s">
        <v>483</v>
      </c>
      <c r="N41" t="s">
        <v>195</v>
      </c>
      <c r="O41" t="s">
        <v>635</v>
      </c>
    </row>
    <row r="42" spans="1:15" x14ac:dyDescent="0.25">
      <c r="A42">
        <v>41</v>
      </c>
      <c r="B42" t="s">
        <v>541</v>
      </c>
      <c r="C42" t="s">
        <v>747</v>
      </c>
      <c r="D42">
        <v>2023</v>
      </c>
      <c r="E42" t="s">
        <v>127</v>
      </c>
      <c r="F42" t="s">
        <v>488</v>
      </c>
      <c r="G42" t="s">
        <v>433</v>
      </c>
      <c r="H42" t="s">
        <v>486</v>
      </c>
      <c r="I42" t="s">
        <v>128</v>
      </c>
      <c r="J42" t="s">
        <v>129</v>
      </c>
      <c r="K42" t="s">
        <v>130</v>
      </c>
      <c r="L42" t="s">
        <v>131</v>
      </c>
      <c r="M42" t="s">
        <v>132</v>
      </c>
      <c r="N42" t="s">
        <v>172</v>
      </c>
      <c r="O42" t="s">
        <v>635</v>
      </c>
    </row>
    <row r="43" spans="1:15" x14ac:dyDescent="0.25">
      <c r="A43">
        <v>42</v>
      </c>
      <c r="B43" t="s">
        <v>542</v>
      </c>
      <c r="C43" t="s">
        <v>748</v>
      </c>
      <c r="D43">
        <v>2025</v>
      </c>
      <c r="E43" t="s">
        <v>133</v>
      </c>
      <c r="F43" t="s">
        <v>410</v>
      </c>
      <c r="G43" t="s">
        <v>432</v>
      </c>
      <c r="H43" t="s">
        <v>724</v>
      </c>
      <c r="I43" t="s">
        <v>134</v>
      </c>
      <c r="J43" t="s">
        <v>135</v>
      </c>
      <c r="K43" t="s">
        <v>136</v>
      </c>
      <c r="L43" t="s">
        <v>137</v>
      </c>
      <c r="M43" t="s">
        <v>138</v>
      </c>
      <c r="N43" t="s">
        <v>484</v>
      </c>
      <c r="O43" t="s">
        <v>635</v>
      </c>
    </row>
    <row r="44" spans="1:15" x14ac:dyDescent="0.25">
      <c r="A44">
        <v>43</v>
      </c>
      <c r="B44" t="s">
        <v>543</v>
      </c>
      <c r="C44" t="s">
        <v>749</v>
      </c>
      <c r="D44">
        <v>2025</v>
      </c>
      <c r="E44" t="s">
        <v>139</v>
      </c>
      <c r="F44" t="s">
        <v>348</v>
      </c>
      <c r="G44" t="s">
        <v>431</v>
      </c>
      <c r="H44" t="s">
        <v>485</v>
      </c>
      <c r="I44" t="s">
        <v>140</v>
      </c>
      <c r="J44" t="s">
        <v>141</v>
      </c>
      <c r="K44" t="s">
        <v>142</v>
      </c>
      <c r="L44" t="s">
        <v>143</v>
      </c>
      <c r="M44" t="s">
        <v>144</v>
      </c>
      <c r="N44" t="s">
        <v>194</v>
      </c>
      <c r="O44" t="s">
        <v>635</v>
      </c>
    </row>
    <row r="45" spans="1:15" x14ac:dyDescent="0.25">
      <c r="A45">
        <v>44</v>
      </c>
      <c r="B45" t="s">
        <v>567</v>
      </c>
      <c r="C45" t="s">
        <v>761</v>
      </c>
      <c r="D45">
        <v>2024</v>
      </c>
      <c r="E45" t="s">
        <v>624</v>
      </c>
      <c r="F45" t="s">
        <v>633</v>
      </c>
      <c r="G45" t="s">
        <v>632</v>
      </c>
      <c r="H45" t="s">
        <v>634</v>
      </c>
      <c r="I45" t="s">
        <v>625</v>
      </c>
      <c r="J45" t="s">
        <v>626</v>
      </c>
      <c r="K45" t="s">
        <v>627</v>
      </c>
      <c r="L45" t="s">
        <v>628</v>
      </c>
      <c r="M45" t="s">
        <v>629</v>
      </c>
      <c r="N45" t="s">
        <v>630</v>
      </c>
      <c r="O45" t="s">
        <v>635</v>
      </c>
    </row>
  </sheetData>
  <sortState xmlns:xlrd2="http://schemas.microsoft.com/office/spreadsheetml/2017/richdata2" ref="B2:N43">
    <sortCondition ref="B1:B43"/>
  </sortState>
  <phoneticPr fontId="8" type="noConversion"/>
  <pageMargins left="0.74803149606299213" right="0.74803149606299213" top="0.98425196850393704" bottom="0.98425196850393704" header="0.51181102362204722" footer="0.51181102362204722"/>
  <pageSetup paperSize="9"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D0E1-AF81-4649-AA26-5BDBAF42BE20}">
  <sheetPr>
    <tabColor theme="4"/>
  </sheetPr>
  <dimension ref="A1:B14"/>
  <sheetViews>
    <sheetView zoomScale="115" zoomScaleNormal="115" workbookViewId="0">
      <selection activeCell="B22" sqref="B22"/>
    </sheetView>
  </sheetViews>
  <sheetFormatPr defaultRowHeight="15" x14ac:dyDescent="0.25"/>
  <cols>
    <col min="1" max="1" width="19.28515625" style="2" customWidth="1"/>
    <col min="2" max="2" width="17.85546875" style="2" customWidth="1"/>
  </cols>
  <sheetData>
    <row r="1" spans="1:2" ht="10.15" customHeight="1" x14ac:dyDescent="0.25">
      <c r="A1" s="15" t="s">
        <v>403</v>
      </c>
      <c r="B1" s="15" t="s">
        <v>404</v>
      </c>
    </row>
    <row r="2" spans="1:2" ht="13.9" customHeight="1" x14ac:dyDescent="0.25">
      <c r="A2" s="15" t="s">
        <v>219</v>
      </c>
      <c r="B2" s="15">
        <f>COUNTIF(Base!$F$2:$F$45,"*"&amp;A2&amp;"*")</f>
        <v>24</v>
      </c>
    </row>
    <row r="3" spans="1:2" ht="13.9" customHeight="1" x14ac:dyDescent="0.25">
      <c r="A3" s="15" t="s">
        <v>227</v>
      </c>
      <c r="B3" s="15">
        <f>COUNTIF(Base!$F$2:$F$45,"*"&amp;A3&amp;"*")</f>
        <v>15</v>
      </c>
    </row>
    <row r="4" spans="1:2" x14ac:dyDescent="0.25">
      <c r="A4" s="15" t="s">
        <v>253</v>
      </c>
      <c r="B4" s="15">
        <f>COUNTIF(Base!$F$2:$F$45,"*"&amp;A4&amp;"*")</f>
        <v>13</v>
      </c>
    </row>
    <row r="5" spans="1:2" x14ac:dyDescent="0.25">
      <c r="A5" s="15" t="s">
        <v>221</v>
      </c>
      <c r="B5" s="15">
        <f>COUNTIF(Base!$F$2:$F$45,"*"&amp;A5&amp;"*")</f>
        <v>8</v>
      </c>
    </row>
    <row r="6" spans="1:2" x14ac:dyDescent="0.25">
      <c r="A6" s="15" t="s">
        <v>220</v>
      </c>
      <c r="B6" s="15">
        <f>COUNTIF(Base!$F$2:$F$45,"*"&amp;A6&amp;"*")</f>
        <v>8</v>
      </c>
    </row>
    <row r="7" spans="1:2" x14ac:dyDescent="0.25">
      <c r="A7" s="15" t="s">
        <v>222</v>
      </c>
      <c r="B7" s="15">
        <f>COUNTIF(Base!$F$2:$F$45,"*"&amp;A7&amp;"*")</f>
        <v>6</v>
      </c>
    </row>
    <row r="8" spans="1:2" x14ac:dyDescent="0.25">
      <c r="A8" s="15" t="s">
        <v>226</v>
      </c>
      <c r="B8" s="15">
        <f>COUNTIF(Base!$F$2:$F$45,"*"&amp;A8&amp;"*")</f>
        <v>5</v>
      </c>
    </row>
    <row r="9" spans="1:2" x14ac:dyDescent="0.25">
      <c r="A9" s="15" t="s">
        <v>223</v>
      </c>
      <c r="B9" s="15">
        <f>COUNTIF(Base!$F$2:$F$45,"*"&amp;A9&amp;"*")</f>
        <v>4</v>
      </c>
    </row>
    <row r="10" spans="1:2" x14ac:dyDescent="0.25">
      <c r="A10" s="15" t="s">
        <v>224</v>
      </c>
      <c r="B10" s="15">
        <f>COUNTIF(Base!$F$2:$F$45,"*"&amp;A10&amp;"*")</f>
        <v>3</v>
      </c>
    </row>
    <row r="11" spans="1:2" x14ac:dyDescent="0.25">
      <c r="A11" s="15" t="s">
        <v>225</v>
      </c>
      <c r="B11" s="15">
        <f>COUNTIF(Base!$F$2:$F$45,"*"&amp;A11&amp;"*")</f>
        <v>3</v>
      </c>
    </row>
    <row r="12" spans="1:2" x14ac:dyDescent="0.25">
      <c r="A12" s="15" t="s">
        <v>275</v>
      </c>
      <c r="B12" s="15">
        <f>COUNTIF(Base!$F$2:$F$45,"*"&amp;A12&amp;"*")</f>
        <v>2</v>
      </c>
    </row>
    <row r="13" spans="1:2" x14ac:dyDescent="0.25">
      <c r="A13" s="15" t="s">
        <v>276</v>
      </c>
      <c r="B13" s="15">
        <f>COUNTIF(Base!$F$2:$F$45,"*"&amp;A13&amp;"*")</f>
        <v>1</v>
      </c>
    </row>
    <row r="14" spans="1:2" x14ac:dyDescent="0.25">
      <c r="A14" s="15" t="s">
        <v>228</v>
      </c>
      <c r="B14" s="15">
        <f>COUNTIF(Base!$F$2:$F$45,"*"&amp;A14&amp;"*")</f>
        <v>1</v>
      </c>
    </row>
  </sheetData>
  <sortState xmlns:xlrd2="http://schemas.microsoft.com/office/spreadsheetml/2017/richdata2" ref="A2:B14">
    <sortCondition descending="1" ref="B2:B14"/>
  </sortState>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95D8-DD1A-4380-BD75-41325FF2E0BF}">
  <sheetPr>
    <tabColor theme="6"/>
  </sheetPr>
  <dimension ref="A1:K43"/>
  <sheetViews>
    <sheetView topLeftCell="B10" zoomScale="115" zoomScaleNormal="115" workbookViewId="0">
      <selection activeCell="G34" sqref="G34"/>
    </sheetView>
  </sheetViews>
  <sheetFormatPr defaultRowHeight="15" x14ac:dyDescent="0.25"/>
  <cols>
    <col min="1" max="3" width="41" style="2" customWidth="1"/>
    <col min="5" max="5" width="48.7109375" bestFit="1" customWidth="1"/>
    <col min="6" max="6" width="25.28515625" bestFit="1" customWidth="1"/>
    <col min="12" max="12" width="47.85546875" bestFit="1" customWidth="1"/>
    <col min="13" max="13" width="19.140625" bestFit="1" customWidth="1"/>
  </cols>
  <sheetData>
    <row r="1" spans="1:3" ht="13.9" customHeight="1" x14ac:dyDescent="0.25">
      <c r="A1" s="16" t="s">
        <v>409</v>
      </c>
      <c r="B1" s="17" t="s">
        <v>405</v>
      </c>
      <c r="C1" s="17" t="s">
        <v>404</v>
      </c>
    </row>
    <row r="2" spans="1:3" x14ac:dyDescent="0.25">
      <c r="A2" s="18" t="s">
        <v>231</v>
      </c>
      <c r="B2" s="18" t="s">
        <v>286</v>
      </c>
      <c r="C2" s="19">
        <f>COUNTIF(Base!$F$2:$F$45,"*"&amp;A2&amp;"*")</f>
        <v>6</v>
      </c>
    </row>
    <row r="3" spans="1:3" x14ac:dyDescent="0.25">
      <c r="A3" s="19" t="s">
        <v>251</v>
      </c>
      <c r="B3" s="19" t="s">
        <v>288</v>
      </c>
      <c r="C3" s="19">
        <f>COUNTIF(Base!$F$2:$F$45,"*"&amp;A3&amp;"*")</f>
        <v>5</v>
      </c>
    </row>
    <row r="4" spans="1:3" x14ac:dyDescent="0.25">
      <c r="A4" s="18" t="s">
        <v>230</v>
      </c>
      <c r="B4" s="18" t="s">
        <v>287</v>
      </c>
      <c r="C4" s="19">
        <f>COUNTIF(Base!$F$2:$F$45,"*"&amp;A4&amp;"*")</f>
        <v>4</v>
      </c>
    </row>
    <row r="5" spans="1:3" x14ac:dyDescent="0.25">
      <c r="A5" s="19" t="s">
        <v>245</v>
      </c>
      <c r="B5" s="18" t="s">
        <v>290</v>
      </c>
      <c r="C5" s="19">
        <f>COUNTIF(Base!$F$2:$F$45,"*"&amp;A5&amp;"*")</f>
        <v>4</v>
      </c>
    </row>
    <row r="6" spans="1:3" x14ac:dyDescent="0.25">
      <c r="A6" s="18" t="s">
        <v>247</v>
      </c>
      <c r="B6" s="18" t="s">
        <v>289</v>
      </c>
      <c r="C6" s="19">
        <f>COUNTIF(Base!$F$2:$F$45,"*"&amp;A6&amp;"*")</f>
        <v>4</v>
      </c>
    </row>
    <row r="7" spans="1:3" x14ac:dyDescent="0.25">
      <c r="A7" s="18" t="s">
        <v>229</v>
      </c>
      <c r="B7" s="18" t="s">
        <v>287</v>
      </c>
      <c r="C7" s="19">
        <f>COUNTIF(Base!$F$2:$F$45,"*"&amp;A7&amp;"*")</f>
        <v>3</v>
      </c>
    </row>
    <row r="8" spans="1:3" x14ac:dyDescent="0.25">
      <c r="A8" s="19" t="s">
        <v>242</v>
      </c>
      <c r="B8" s="19" t="s">
        <v>285</v>
      </c>
      <c r="C8" s="19">
        <f>COUNTIF(Base!$F$2:$F$45,"*"&amp;A8&amp;"*")</f>
        <v>3</v>
      </c>
    </row>
    <row r="9" spans="1:3" x14ac:dyDescent="0.25">
      <c r="A9" s="18" t="s">
        <v>234</v>
      </c>
      <c r="B9" s="18" t="s">
        <v>285</v>
      </c>
      <c r="C9" s="19">
        <f>COUNTIF(Base!$F$2:$F$45,"*"&amp;A9&amp;"*")</f>
        <v>3</v>
      </c>
    </row>
    <row r="10" spans="1:3" x14ac:dyDescent="0.25">
      <c r="A10" s="19" t="s">
        <v>246</v>
      </c>
      <c r="B10" s="19" t="s">
        <v>290</v>
      </c>
      <c r="C10" s="19">
        <f>COUNTIF(Base!$F$2:$F$45,"*"&amp;A10&amp;"*")</f>
        <v>3</v>
      </c>
    </row>
    <row r="11" spans="1:3" x14ac:dyDescent="0.25">
      <c r="A11" s="18" t="s">
        <v>631</v>
      </c>
      <c r="B11" s="19" t="s">
        <v>290</v>
      </c>
      <c r="C11" s="19">
        <f>COUNTIF(Base!$F$2:$F$45,"*"&amp;A11&amp;"*")</f>
        <v>3</v>
      </c>
    </row>
    <row r="12" spans="1:3" x14ac:dyDescent="0.25">
      <c r="A12" s="19" t="s">
        <v>250</v>
      </c>
      <c r="B12" s="19" t="s">
        <v>287</v>
      </c>
      <c r="C12" s="19">
        <f>COUNTIF(Base!$F$2:$F$45,"*"&amp;A12&amp;"*")</f>
        <v>2</v>
      </c>
    </row>
    <row r="13" spans="1:3" x14ac:dyDescent="0.25">
      <c r="A13" s="19" t="s">
        <v>240</v>
      </c>
      <c r="B13" s="19" t="s">
        <v>285</v>
      </c>
      <c r="C13" s="19">
        <f>COUNTIF(Base!$F$2:$F$45,"*"&amp;A13&amp;"*")</f>
        <v>2</v>
      </c>
    </row>
    <row r="14" spans="1:3" x14ac:dyDescent="0.25">
      <c r="A14" s="18" t="s">
        <v>244</v>
      </c>
      <c r="B14" s="18" t="s">
        <v>290</v>
      </c>
      <c r="C14" s="19">
        <f>COUNTIF(Base!$F$2:$F$45,"*"&amp;A14&amp;"*")</f>
        <v>2</v>
      </c>
    </row>
    <row r="15" spans="1:3" x14ac:dyDescent="0.25">
      <c r="A15" s="18" t="s">
        <v>232</v>
      </c>
      <c r="B15" s="18" t="s">
        <v>286</v>
      </c>
      <c r="C15" s="19">
        <f>COUNTIF(Base!$F$2:$F$45,"*"&amp;A15&amp;"*")</f>
        <v>2</v>
      </c>
    </row>
    <row r="16" spans="1:3" x14ac:dyDescent="0.25">
      <c r="A16" s="19" t="s">
        <v>233</v>
      </c>
      <c r="B16" s="19" t="s">
        <v>286</v>
      </c>
      <c r="C16" s="19">
        <f>COUNTIF(Base!$F$2:$F$45,"*"&amp;A16&amp;"*")</f>
        <v>2</v>
      </c>
    </row>
    <row r="17" spans="1:11" x14ac:dyDescent="0.25">
      <c r="A17" s="19" t="s">
        <v>238</v>
      </c>
      <c r="B17" s="19" t="s">
        <v>288</v>
      </c>
      <c r="C17" s="19">
        <f>COUNTIF(Base!$F$2:$F$45,"*"&amp;A17&amp;"*")</f>
        <v>2</v>
      </c>
    </row>
    <row r="18" spans="1:11" x14ac:dyDescent="0.25">
      <c r="A18" s="18" t="s">
        <v>235</v>
      </c>
      <c r="B18" s="18" t="s">
        <v>287</v>
      </c>
      <c r="C18" s="19">
        <f>COUNTIF(Base!$F$2:$F$45,"*"&amp;A18&amp;"*")</f>
        <v>1</v>
      </c>
      <c r="E18" s="14" t="s">
        <v>719</v>
      </c>
      <c r="F18" t="s">
        <v>407</v>
      </c>
    </row>
    <row r="19" spans="1:11" x14ac:dyDescent="0.25">
      <c r="A19" s="19" t="s">
        <v>236</v>
      </c>
      <c r="B19" s="19" t="s">
        <v>287</v>
      </c>
      <c r="C19" s="19">
        <f>COUNTIF(Base!$F$2:$F$45,"*"&amp;A19&amp;"*")</f>
        <v>1</v>
      </c>
      <c r="E19" s="1" t="s">
        <v>287</v>
      </c>
      <c r="F19">
        <v>12</v>
      </c>
    </row>
    <row r="20" spans="1:11" x14ac:dyDescent="0.25">
      <c r="A20" s="18" t="s">
        <v>241</v>
      </c>
      <c r="B20" s="18" t="s">
        <v>287</v>
      </c>
      <c r="C20" s="19">
        <f>COUNTIF(Base!$F$2:$F$45,"*"&amp;A20&amp;"*")</f>
        <v>1</v>
      </c>
      <c r="E20" s="1" t="s">
        <v>285</v>
      </c>
      <c r="F20">
        <v>8</v>
      </c>
    </row>
    <row r="21" spans="1:11" x14ac:dyDescent="0.25">
      <c r="A21" s="18" t="s">
        <v>281</v>
      </c>
      <c r="B21" s="18" t="s">
        <v>290</v>
      </c>
      <c r="C21" s="19">
        <f>COUNTIF(Base!$F$2:$F$45,"*"&amp;A21&amp;"*")</f>
        <v>1</v>
      </c>
      <c r="E21" s="1" t="s">
        <v>290</v>
      </c>
      <c r="F21">
        <v>18</v>
      </c>
    </row>
    <row r="22" spans="1:11" x14ac:dyDescent="0.25">
      <c r="A22" s="19" t="s">
        <v>239</v>
      </c>
      <c r="B22" s="19" t="s">
        <v>290</v>
      </c>
      <c r="C22" s="19">
        <f>COUNTIF(Base!$F$2:$F$45,"*"&amp;A22&amp;"*")</f>
        <v>1</v>
      </c>
      <c r="E22" s="1" t="s">
        <v>289</v>
      </c>
      <c r="F22">
        <v>8</v>
      </c>
      <c r="K22" s="2"/>
    </row>
    <row r="23" spans="1:11" ht="16.5" customHeight="1" x14ac:dyDescent="0.25">
      <c r="A23" s="18" t="s">
        <v>607</v>
      </c>
      <c r="B23" s="18" t="s">
        <v>290</v>
      </c>
      <c r="C23" s="19">
        <f>COUNTIF(Base!$F$2:$F$45,"*"&amp;A23&amp;"*")</f>
        <v>1</v>
      </c>
      <c r="E23" s="1" t="s">
        <v>286</v>
      </c>
      <c r="F23">
        <v>13</v>
      </c>
      <c r="K23" s="2"/>
    </row>
    <row r="24" spans="1:11" ht="14.25" customHeight="1" x14ac:dyDescent="0.25">
      <c r="A24" s="18" t="s">
        <v>278</v>
      </c>
      <c r="B24" s="18" t="s">
        <v>290</v>
      </c>
      <c r="C24" s="19">
        <f>COUNTIF(Base!$F$2:$F$45,"*"&amp;A24&amp;"*")</f>
        <v>1</v>
      </c>
      <c r="E24" s="1" t="s">
        <v>288</v>
      </c>
      <c r="F24">
        <v>11</v>
      </c>
      <c r="K24" s="2"/>
    </row>
    <row r="25" spans="1:11" ht="11.25" customHeight="1" x14ac:dyDescent="0.25">
      <c r="A25" s="18" t="s">
        <v>606</v>
      </c>
      <c r="B25" s="18" t="s">
        <v>290</v>
      </c>
      <c r="C25" s="19">
        <f>COUNTIF(Base!$F$2:$F$45,"*"&amp;A25&amp;"*")</f>
        <v>1</v>
      </c>
      <c r="E25" s="1" t="s">
        <v>408</v>
      </c>
      <c r="F25">
        <v>70</v>
      </c>
      <c r="K25" s="2"/>
    </row>
    <row r="26" spans="1:11" x14ac:dyDescent="0.25">
      <c r="A26" s="18" t="s">
        <v>592</v>
      </c>
      <c r="B26" s="18" t="s">
        <v>290</v>
      </c>
      <c r="C26" s="19">
        <f>COUNTIF(Base!$F$2:$F$45,"*"&amp;A26&amp;"*")</f>
        <v>1</v>
      </c>
      <c r="K26" s="2"/>
    </row>
    <row r="27" spans="1:11" x14ac:dyDescent="0.25">
      <c r="A27" s="18" t="s">
        <v>252</v>
      </c>
      <c r="B27" s="18" t="s">
        <v>289</v>
      </c>
      <c r="C27" s="19">
        <f>COUNTIF(Base!$F$2:$F$45,"*"&amp;A27&amp;"*")</f>
        <v>1</v>
      </c>
      <c r="K27" s="2"/>
    </row>
    <row r="28" spans="1:11" x14ac:dyDescent="0.25">
      <c r="A28" s="19" t="s">
        <v>280</v>
      </c>
      <c r="B28" s="19" t="s">
        <v>289</v>
      </c>
      <c r="C28" s="19">
        <f>COUNTIF(Base!$F$2:$F$45,"*"&amp;A28&amp;"*")</f>
        <v>1</v>
      </c>
      <c r="K28" s="2"/>
    </row>
    <row r="29" spans="1:11" x14ac:dyDescent="0.25">
      <c r="A29" s="18" t="s">
        <v>707</v>
      </c>
      <c r="B29" s="19" t="s">
        <v>289</v>
      </c>
      <c r="C29" s="19">
        <f>COUNTIF(Base!$F$2:$F$45,"*"&amp;A29&amp;"*")</f>
        <v>1</v>
      </c>
    </row>
    <row r="30" spans="1:11" x14ac:dyDescent="0.25">
      <c r="A30" s="18" t="s">
        <v>279</v>
      </c>
      <c r="B30" s="18" t="s">
        <v>289</v>
      </c>
      <c r="C30" s="19">
        <f>COUNTIF(Base!$F$2:$F$45,"*"&amp;A30&amp;"*")</f>
        <v>1</v>
      </c>
    </row>
    <row r="31" spans="1:11" x14ac:dyDescent="0.25">
      <c r="A31" s="18" t="s">
        <v>249</v>
      </c>
      <c r="B31" s="18" t="s">
        <v>286</v>
      </c>
      <c r="C31" s="19">
        <f>COUNTIF(Base!$F$2:$F$45,"*"&amp;A31&amp;"*")</f>
        <v>1</v>
      </c>
    </row>
    <row r="32" spans="1:11" x14ac:dyDescent="0.25">
      <c r="A32" s="19" t="s">
        <v>243</v>
      </c>
      <c r="B32" s="19" t="s">
        <v>286</v>
      </c>
      <c r="C32" s="19">
        <f>COUNTIF(Base!$F$2:$F$45,"*"&amp;A32&amp;"*")</f>
        <v>1</v>
      </c>
    </row>
    <row r="33" spans="1:3" x14ac:dyDescent="0.25">
      <c r="A33" s="18" t="s">
        <v>708</v>
      </c>
      <c r="B33" s="19" t="s">
        <v>286</v>
      </c>
      <c r="C33" s="19">
        <f>COUNTIF(Base!$F$2:$F$45,"*"&amp;A33&amp;"*")</f>
        <v>1</v>
      </c>
    </row>
    <row r="34" spans="1:3" x14ac:dyDescent="0.25">
      <c r="A34" s="19" t="s">
        <v>277</v>
      </c>
      <c r="B34" s="19" t="s">
        <v>288</v>
      </c>
      <c r="C34" s="19">
        <f>COUNTIF(Base!$F$2:$F$45,"*"&amp;A34&amp;"*")</f>
        <v>1</v>
      </c>
    </row>
    <row r="35" spans="1:3" x14ac:dyDescent="0.25">
      <c r="A35" s="18" t="s">
        <v>237</v>
      </c>
      <c r="B35" s="18" t="s">
        <v>288</v>
      </c>
      <c r="C35" s="19">
        <f>COUNTIF(Base!$F$2:$F$45,"*"&amp;A35&amp;"*")</f>
        <v>1</v>
      </c>
    </row>
    <row r="36" spans="1:3" ht="14.25" customHeight="1" x14ac:dyDescent="0.25">
      <c r="A36" s="18" t="s">
        <v>582</v>
      </c>
      <c r="B36" s="19" t="s">
        <v>288</v>
      </c>
      <c r="C36" s="19">
        <f>COUNTIF(Base!$F$2:$F$45,"*"&amp;A36&amp;"*")</f>
        <v>1</v>
      </c>
    </row>
    <row r="37" spans="1:3" x14ac:dyDescent="0.25">
      <c r="A37" s="19" t="s">
        <v>248</v>
      </c>
      <c r="B37" s="19" t="s">
        <v>288</v>
      </c>
      <c r="C37" s="19">
        <f>COUNTIF(Base!$F$2:$F$45,"*"&amp;A37&amp;"*")</f>
        <v>1</v>
      </c>
    </row>
    <row r="38" spans="1:3" x14ac:dyDescent="0.25">
      <c r="A38" s="18"/>
      <c r="B38" s="18"/>
      <c r="C38" s="19">
        <f>SUM(Tabela9[Frequência])</f>
        <v>70</v>
      </c>
    </row>
    <row r="40" spans="1:3" x14ac:dyDescent="0.25">
      <c r="A40" s="7" t="s">
        <v>282</v>
      </c>
    </row>
    <row r="41" spans="1:3" x14ac:dyDescent="0.25">
      <c r="A41" s="9" t="s">
        <v>283</v>
      </c>
    </row>
    <row r="42" spans="1:3" x14ac:dyDescent="0.25">
      <c r="A42" s="7" t="s">
        <v>284</v>
      </c>
    </row>
    <row r="43" spans="1:3" x14ac:dyDescent="0.25">
      <c r="A43" s="9" t="s">
        <v>709</v>
      </c>
    </row>
  </sheetData>
  <pageMargins left="0.511811024" right="0.511811024" top="0.78740157499999996" bottom="0.78740157499999996" header="0.31496062000000002" footer="0.31496062000000002"/>
  <pageSetup paperSize="9" orientation="portrait" r:id="rId2"/>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C1CC-6DF6-4D0C-B1BD-78BEAFC2F5EC}">
  <sheetPr>
    <tabColor theme="7"/>
  </sheetPr>
  <dimension ref="A1:M42"/>
  <sheetViews>
    <sheetView zoomScale="115" zoomScaleNormal="115" workbookViewId="0">
      <selection activeCell="I17" sqref="I17"/>
    </sheetView>
  </sheetViews>
  <sheetFormatPr defaultRowHeight="15" x14ac:dyDescent="0.25"/>
  <cols>
    <col min="1" max="3" width="43.28515625" style="2" customWidth="1"/>
    <col min="4" max="4" width="13.42578125" style="3" customWidth="1"/>
    <col min="5" max="5" width="36.28515625" bestFit="1" customWidth="1"/>
    <col min="6" max="6" width="19.140625" bestFit="1" customWidth="1"/>
    <col min="7" max="7" width="19.28515625" bestFit="1" customWidth="1"/>
    <col min="9" max="9" width="20.28515625" style="2" customWidth="1"/>
    <col min="10" max="10" width="21.85546875" style="2" customWidth="1"/>
    <col min="11" max="11" width="37.28515625" style="2" customWidth="1"/>
    <col min="12" max="12" width="21.85546875" style="2" customWidth="1"/>
    <col min="13" max="13" width="28.5703125" style="2" customWidth="1"/>
    <col min="17" max="17" width="0.5703125" customWidth="1"/>
    <col min="18" max="18" width="18.28515625" customWidth="1"/>
    <col min="19" max="19" width="27.140625" customWidth="1"/>
    <col min="20" max="20" width="38.5703125" customWidth="1"/>
    <col min="21" max="21" width="21.140625" customWidth="1"/>
    <col min="22" max="22" width="30" customWidth="1"/>
  </cols>
  <sheetData>
    <row r="1" spans="1:13" x14ac:dyDescent="0.25">
      <c r="A1" s="23" t="s">
        <v>411</v>
      </c>
      <c r="B1" s="23" t="s">
        <v>406</v>
      </c>
      <c r="C1" s="23" t="s">
        <v>405</v>
      </c>
      <c r="D1" s="24" t="s">
        <v>404</v>
      </c>
      <c r="I1" s="4"/>
      <c r="J1" s="5"/>
      <c r="K1" s="5"/>
      <c r="L1" s="5"/>
      <c r="M1" s="5"/>
    </row>
    <row r="2" spans="1:13" x14ac:dyDescent="0.25">
      <c r="A2" s="20" t="s">
        <v>259</v>
      </c>
      <c r="B2" s="20" t="s">
        <v>259</v>
      </c>
      <c r="C2" s="20" t="s">
        <v>350</v>
      </c>
      <c r="D2" s="21">
        <f>COUNTIF(Base!$F$2:$F$45,"*"&amp;B2&amp;"*")</f>
        <v>13</v>
      </c>
      <c r="I2" s="6"/>
      <c r="J2" s="6"/>
      <c r="K2" s="6"/>
      <c r="L2" s="6"/>
      <c r="M2" s="6"/>
    </row>
    <row r="3" spans="1:13" x14ac:dyDescent="0.25">
      <c r="A3" s="22" t="s">
        <v>273</v>
      </c>
      <c r="B3" s="22" t="s">
        <v>273</v>
      </c>
      <c r="C3" s="22" t="s">
        <v>349</v>
      </c>
      <c r="D3" s="21">
        <f>COUNTIF(Base!$F$2:$F$45,"*"&amp;B3&amp;"*")</f>
        <v>10</v>
      </c>
      <c r="I3" s="6"/>
      <c r="J3" s="6"/>
      <c r="K3" s="6"/>
      <c r="L3" s="6"/>
      <c r="M3" s="6"/>
    </row>
    <row r="4" spans="1:13" x14ac:dyDescent="0.25">
      <c r="A4" s="22" t="s">
        <v>258</v>
      </c>
      <c r="B4" s="22" t="s">
        <v>258</v>
      </c>
      <c r="C4" s="22" t="s">
        <v>350</v>
      </c>
      <c r="D4" s="21">
        <f>COUNTIF(Base!$F$2:$F$45,"*"&amp;B4&amp;"*")</f>
        <v>8</v>
      </c>
      <c r="I4" s="6"/>
      <c r="J4" s="6"/>
      <c r="K4" s="6"/>
      <c r="L4" s="6"/>
      <c r="M4" s="6"/>
    </row>
    <row r="5" spans="1:13" x14ac:dyDescent="0.25">
      <c r="A5" s="20" t="s">
        <v>340</v>
      </c>
      <c r="B5" s="20" t="s">
        <v>271</v>
      </c>
      <c r="C5" s="20" t="s">
        <v>349</v>
      </c>
      <c r="D5" s="21">
        <f>COUNTIF(Base!$F$2:$F$45,"*"&amp;B5&amp;"*")</f>
        <v>5</v>
      </c>
      <c r="I5" s="6"/>
      <c r="J5" s="6"/>
      <c r="K5" s="6"/>
      <c r="L5" s="6"/>
      <c r="M5" s="6"/>
    </row>
    <row r="6" spans="1:13" x14ac:dyDescent="0.25">
      <c r="A6" s="20" t="s">
        <v>269</v>
      </c>
      <c r="B6" s="20" t="s">
        <v>269</v>
      </c>
      <c r="C6" s="20" t="s">
        <v>352</v>
      </c>
      <c r="D6" s="21">
        <f>COUNTIF(Base!$F$2:$F$45,"*"&amp;B6&amp;"*")</f>
        <v>5</v>
      </c>
      <c r="I6" s="6"/>
      <c r="J6" s="6"/>
      <c r="K6" s="6"/>
      <c r="L6" s="6"/>
      <c r="M6" s="6"/>
    </row>
    <row r="7" spans="1:13" x14ac:dyDescent="0.25">
      <c r="A7" s="20" t="s">
        <v>619</v>
      </c>
      <c r="B7" s="20" t="s">
        <v>620</v>
      </c>
      <c r="C7" s="20" t="s">
        <v>349</v>
      </c>
      <c r="D7" s="21">
        <f>COUNTIF(Base!$F$2:$F$45,"*"&amp;B7&amp;"*")</f>
        <v>5</v>
      </c>
      <c r="I7" s="6"/>
      <c r="J7" s="6"/>
      <c r="K7" s="6"/>
      <c r="L7" s="6"/>
      <c r="M7" s="6"/>
    </row>
    <row r="8" spans="1:13" x14ac:dyDescent="0.25">
      <c r="A8" s="20" t="s">
        <v>316</v>
      </c>
      <c r="B8" s="20" t="s">
        <v>274</v>
      </c>
      <c r="C8" s="20" t="s">
        <v>349</v>
      </c>
      <c r="D8" s="21">
        <f>COUNTIF(Base!$F$2:$F$45,"*"&amp;B8&amp;"*")</f>
        <v>5</v>
      </c>
      <c r="I8" s="6"/>
      <c r="J8" s="6"/>
      <c r="K8" s="6"/>
      <c r="L8" s="6"/>
      <c r="M8" s="6"/>
    </row>
    <row r="9" spans="1:13" x14ac:dyDescent="0.25">
      <c r="A9" s="20" t="s">
        <v>581</v>
      </c>
      <c r="B9" s="20" t="s">
        <v>581</v>
      </c>
      <c r="C9" s="20" t="s">
        <v>350</v>
      </c>
      <c r="D9" s="21">
        <f>COUNTIF(Base!$F$2:$F$45,"*"&amp;B9&amp;"*")</f>
        <v>5</v>
      </c>
    </row>
    <row r="10" spans="1:13" x14ac:dyDescent="0.25">
      <c r="A10" s="20" t="s">
        <v>617</v>
      </c>
      <c r="B10" s="20" t="s">
        <v>617</v>
      </c>
      <c r="C10" s="22" t="s">
        <v>350</v>
      </c>
      <c r="D10" s="21">
        <f>COUNTIF(Base!$F$2:$F$45,"*"&amp;B10&amp;"*")</f>
        <v>5</v>
      </c>
      <c r="I10"/>
      <c r="J10"/>
    </row>
    <row r="11" spans="1:13" x14ac:dyDescent="0.25">
      <c r="A11" s="22" t="s">
        <v>341</v>
      </c>
      <c r="B11" s="22" t="s">
        <v>272</v>
      </c>
      <c r="C11" s="22" t="s">
        <v>349</v>
      </c>
      <c r="D11" s="21">
        <f>COUNTIF(Base!$F$2:$F$45,"*"&amp;B11&amp;"*")</f>
        <v>4</v>
      </c>
      <c r="I11"/>
      <c r="J11"/>
    </row>
    <row r="12" spans="1:13" x14ac:dyDescent="0.25">
      <c r="A12" s="22" t="s">
        <v>344</v>
      </c>
      <c r="B12" s="22" t="s">
        <v>344</v>
      </c>
      <c r="C12" s="22" t="s">
        <v>351</v>
      </c>
      <c r="D12" s="21">
        <f>COUNTIF(Base!$F$2:$F$45,"*"&amp;B12&amp;"*")</f>
        <v>4</v>
      </c>
      <c r="I12"/>
      <c r="J12"/>
    </row>
    <row r="13" spans="1:13" x14ac:dyDescent="0.25">
      <c r="A13" s="22" t="s">
        <v>267</v>
      </c>
      <c r="B13" s="22" t="s">
        <v>267</v>
      </c>
      <c r="C13" s="22" t="s">
        <v>349</v>
      </c>
      <c r="D13" s="21">
        <f>COUNTIF(Base!$F$2:$F$45,"*"&amp;B13&amp;"*")</f>
        <v>4</v>
      </c>
      <c r="I13"/>
      <c r="J13"/>
    </row>
    <row r="14" spans="1:13" x14ac:dyDescent="0.25">
      <c r="A14" s="20" t="s">
        <v>264</v>
      </c>
      <c r="B14" s="20" t="s">
        <v>264</v>
      </c>
      <c r="C14" s="20" t="s">
        <v>350</v>
      </c>
      <c r="D14" s="21">
        <f>COUNTIF(Base!$F$2:$F$45,"*"&amp;B14&amp;"*")</f>
        <v>4</v>
      </c>
      <c r="I14"/>
      <c r="J14"/>
    </row>
    <row r="15" spans="1:13" x14ac:dyDescent="0.25">
      <c r="A15" s="20" t="s">
        <v>265</v>
      </c>
      <c r="B15" s="20" t="s">
        <v>265</v>
      </c>
      <c r="C15" s="20" t="s">
        <v>350</v>
      </c>
      <c r="D15" s="21">
        <f>COUNTIF(Base!$F$2:$F$45,"*"&amp;B15&amp;"*")</f>
        <v>4</v>
      </c>
      <c r="I15"/>
      <c r="J15"/>
    </row>
    <row r="16" spans="1:13" x14ac:dyDescent="0.25">
      <c r="A16" s="20" t="s">
        <v>618</v>
      </c>
      <c r="B16" s="20" t="s">
        <v>621</v>
      </c>
      <c r="C16" s="20" t="s">
        <v>349</v>
      </c>
      <c r="D16" s="21">
        <f>COUNTIF(Base!$F$2:$F$45,"*"&amp;B16&amp;"*")</f>
        <v>3</v>
      </c>
      <c r="E16" s="14" t="s">
        <v>719</v>
      </c>
      <c r="F16" t="s">
        <v>407</v>
      </c>
    </row>
    <row r="17" spans="1:6" x14ac:dyDescent="0.25">
      <c r="A17" s="20" t="s">
        <v>263</v>
      </c>
      <c r="B17" s="20" t="s">
        <v>263</v>
      </c>
      <c r="C17" s="20" t="s">
        <v>350</v>
      </c>
      <c r="D17" s="21">
        <f>COUNTIF(Base!$F$2:$F$45,"*"&amp;B17&amp;"*")</f>
        <v>3</v>
      </c>
      <c r="E17" s="1" t="s">
        <v>351</v>
      </c>
      <c r="F17">
        <v>9</v>
      </c>
    </row>
    <row r="18" spans="1:6" x14ac:dyDescent="0.25">
      <c r="A18" s="20" t="s">
        <v>257</v>
      </c>
      <c r="B18" s="20" t="s">
        <v>257</v>
      </c>
      <c r="C18" s="20" t="s">
        <v>350</v>
      </c>
      <c r="D18" s="21">
        <f>COUNTIF(Base!$F$2:$F$45,"*"&amp;B18&amp;"*")</f>
        <v>3</v>
      </c>
      <c r="E18" s="1" t="s">
        <v>350</v>
      </c>
      <c r="F18">
        <v>53</v>
      </c>
    </row>
    <row r="19" spans="1:6" x14ac:dyDescent="0.25">
      <c r="A19" s="20" t="s">
        <v>718</v>
      </c>
      <c r="B19" s="20" t="s">
        <v>718</v>
      </c>
      <c r="C19" s="22" t="s">
        <v>350</v>
      </c>
      <c r="D19" s="21">
        <f>COUNTIF(Base!$F$2:$F$45,"*"&amp;B19&amp;"*")</f>
        <v>3</v>
      </c>
      <c r="E19" s="1" t="s">
        <v>352</v>
      </c>
      <c r="F19">
        <v>16</v>
      </c>
    </row>
    <row r="20" spans="1:6" x14ac:dyDescent="0.25">
      <c r="A20" s="22" t="s">
        <v>343</v>
      </c>
      <c r="B20" s="22" t="s">
        <v>725</v>
      </c>
      <c r="C20" s="22" t="s">
        <v>352</v>
      </c>
      <c r="D20" s="21">
        <f>COUNTIF(Base!$F$2:$F$45,"*"&amp;B20&amp;"*")</f>
        <v>4</v>
      </c>
      <c r="E20" s="1" t="s">
        <v>349</v>
      </c>
      <c r="F20">
        <v>40</v>
      </c>
    </row>
    <row r="21" spans="1:6" x14ac:dyDescent="0.25">
      <c r="A21" s="22" t="s">
        <v>266</v>
      </c>
      <c r="B21" s="22" t="s">
        <v>266</v>
      </c>
      <c r="C21" s="22" t="s">
        <v>349</v>
      </c>
      <c r="D21" s="21">
        <f>COUNTIF(Base!$F$2:$F$45,"*"&amp;B21&amp;"*")</f>
        <v>2</v>
      </c>
      <c r="E21" s="1" t="s">
        <v>408</v>
      </c>
      <c r="F21">
        <v>118</v>
      </c>
    </row>
    <row r="22" spans="1:6" x14ac:dyDescent="0.25">
      <c r="A22" s="22" t="s">
        <v>270</v>
      </c>
      <c r="B22" s="22" t="s">
        <v>270</v>
      </c>
      <c r="C22" s="22" t="s">
        <v>352</v>
      </c>
      <c r="D22" s="21">
        <f>COUNTIF(Base!$F$2:$F$45,"*"&amp;B22&amp;"*")</f>
        <v>1</v>
      </c>
    </row>
    <row r="23" spans="1:6" x14ac:dyDescent="0.25">
      <c r="A23" s="20" t="s">
        <v>339</v>
      </c>
      <c r="B23" s="20" t="s">
        <v>339</v>
      </c>
      <c r="C23" s="20" t="s">
        <v>349</v>
      </c>
      <c r="D23" s="21">
        <f>COUNTIF(Base!$F$2:$F$45,"*"&amp;B23&amp;"*")</f>
        <v>1</v>
      </c>
    </row>
    <row r="24" spans="1:6" x14ac:dyDescent="0.25">
      <c r="A24" s="22" t="s">
        <v>256</v>
      </c>
      <c r="B24" s="22" t="s">
        <v>256</v>
      </c>
      <c r="C24" s="22" t="s">
        <v>350</v>
      </c>
      <c r="D24" s="21">
        <f>COUNTIF(Base!$F$2:$F$45,"*"&amp;B24&amp;"*")</f>
        <v>1</v>
      </c>
    </row>
    <row r="25" spans="1:6" x14ac:dyDescent="0.25">
      <c r="A25" s="22" t="s">
        <v>262</v>
      </c>
      <c r="B25" s="22" t="s">
        <v>262</v>
      </c>
      <c r="C25" s="22" t="s">
        <v>350</v>
      </c>
      <c r="D25" s="21">
        <f>COUNTIF(Base!$F$2:$F$45,"*"&amp;B25&amp;"*")</f>
        <v>1</v>
      </c>
    </row>
    <row r="26" spans="1:6" x14ac:dyDescent="0.25">
      <c r="A26" s="20" t="s">
        <v>268</v>
      </c>
      <c r="B26" s="20" t="s">
        <v>268</v>
      </c>
      <c r="C26" s="20" t="s">
        <v>349</v>
      </c>
      <c r="D26" s="21">
        <f>COUNTIF(Base!$F$2:$F$45,"*"&amp;B26&amp;"*")</f>
        <v>1</v>
      </c>
    </row>
    <row r="27" spans="1:6" x14ac:dyDescent="0.25">
      <c r="A27" s="22" t="s">
        <v>338</v>
      </c>
      <c r="B27" s="22" t="s">
        <v>338</v>
      </c>
      <c r="C27" s="22" t="s">
        <v>351</v>
      </c>
      <c r="D27" s="21">
        <f>COUNTIF(Base!$F$2:$F$45,"*"&amp;B27&amp;"*")</f>
        <v>1</v>
      </c>
    </row>
    <row r="28" spans="1:6" x14ac:dyDescent="0.25">
      <c r="A28" s="22" t="s">
        <v>342</v>
      </c>
      <c r="B28" s="22" t="s">
        <v>342</v>
      </c>
      <c r="C28" s="22" t="s">
        <v>351</v>
      </c>
      <c r="D28" s="21">
        <f>COUNTIF(Base!$F$2:$F$45,"*"&amp;B28&amp;"*")</f>
        <v>1</v>
      </c>
    </row>
    <row r="29" spans="1:6" x14ac:dyDescent="0.25">
      <c r="A29" s="20" t="s">
        <v>345</v>
      </c>
      <c r="B29" s="20" t="s">
        <v>345</v>
      </c>
      <c r="C29" s="20" t="s">
        <v>351</v>
      </c>
      <c r="D29" s="21">
        <f>COUNTIF(Base!$F$2:$F$45,"*"&amp;B29&amp;"*")</f>
        <v>1</v>
      </c>
    </row>
    <row r="30" spans="1:6" x14ac:dyDescent="0.25">
      <c r="A30" s="20" t="s">
        <v>346</v>
      </c>
      <c r="B30" s="20" t="s">
        <v>346</v>
      </c>
      <c r="C30" s="20" t="s">
        <v>351</v>
      </c>
      <c r="D30" s="21">
        <f>COUNTIF(Base!$F$2:$F$45,"*"&amp;B30&amp;"*")</f>
        <v>1</v>
      </c>
    </row>
    <row r="31" spans="1:6" x14ac:dyDescent="0.25">
      <c r="A31" s="22" t="s">
        <v>347</v>
      </c>
      <c r="B31" s="22" t="s">
        <v>347</v>
      </c>
      <c r="C31" s="22" t="s">
        <v>351</v>
      </c>
      <c r="D31" s="21">
        <f>COUNTIF(Base!$F$2:$F$45,"*"&amp;B31&amp;"*")</f>
        <v>1</v>
      </c>
    </row>
    <row r="32" spans="1:6" x14ac:dyDescent="0.25">
      <c r="A32" s="20" t="s">
        <v>296</v>
      </c>
      <c r="B32" s="20" t="s">
        <v>296</v>
      </c>
      <c r="C32" s="20" t="s">
        <v>352</v>
      </c>
      <c r="D32" s="21">
        <f>COUNTIF(Base!$F$2:$F$45,"*"&amp;B32&amp;"*")</f>
        <v>1</v>
      </c>
    </row>
    <row r="33" spans="1:4" x14ac:dyDescent="0.25">
      <c r="A33" s="22" t="s">
        <v>294</v>
      </c>
      <c r="B33" s="22" t="s">
        <v>294</v>
      </c>
      <c r="C33" s="22" t="s">
        <v>352</v>
      </c>
      <c r="D33" s="21">
        <f>COUNTIF(Base!$F$2:$F$45,"*"&amp;B33&amp;"*")</f>
        <v>1</v>
      </c>
    </row>
    <row r="34" spans="1:4" x14ac:dyDescent="0.25">
      <c r="A34" s="20" t="s">
        <v>297</v>
      </c>
      <c r="B34" s="20" t="s">
        <v>297</v>
      </c>
      <c r="C34" s="20" t="s">
        <v>352</v>
      </c>
      <c r="D34" s="21">
        <f>COUNTIF(Base!$F$2:$F$45,"*"&amp;B34&amp;"*")</f>
        <v>1</v>
      </c>
    </row>
    <row r="35" spans="1:4" x14ac:dyDescent="0.25">
      <c r="A35" s="22" t="s">
        <v>337</v>
      </c>
      <c r="B35" s="22" t="s">
        <v>337</v>
      </c>
      <c r="C35" s="22" t="s">
        <v>352</v>
      </c>
      <c r="D35" s="21">
        <f>COUNTIF(Base!$F$2:$F$45,"*"&amp;B35&amp;"*")</f>
        <v>1</v>
      </c>
    </row>
    <row r="36" spans="1:4" x14ac:dyDescent="0.25">
      <c r="A36" s="20" t="s">
        <v>295</v>
      </c>
      <c r="B36" s="20" t="s">
        <v>295</v>
      </c>
      <c r="C36" s="20" t="s">
        <v>352</v>
      </c>
      <c r="D36" s="21">
        <f>COUNTIF(Base!$F$2:$F$45,"*"&amp;B36&amp;"*")</f>
        <v>1</v>
      </c>
    </row>
    <row r="37" spans="1:4" x14ac:dyDescent="0.25">
      <c r="A37" s="22" t="s">
        <v>261</v>
      </c>
      <c r="B37" s="22" t="s">
        <v>261</v>
      </c>
      <c r="C37" s="22" t="s">
        <v>350</v>
      </c>
      <c r="D37" s="21">
        <f>COUNTIF(Base!$F$2:$F$45,"*"&amp;B37&amp;"*")</f>
        <v>1</v>
      </c>
    </row>
    <row r="38" spans="1:4" x14ac:dyDescent="0.25">
      <c r="A38" s="20" t="s">
        <v>580</v>
      </c>
      <c r="B38" s="20" t="s">
        <v>580</v>
      </c>
      <c r="C38" s="20" t="s">
        <v>350</v>
      </c>
      <c r="D38" s="21">
        <f>COUNTIF(Base!$F$2:$F$45,"*"&amp;B38&amp;"*")</f>
        <v>1</v>
      </c>
    </row>
    <row r="39" spans="1:4" x14ac:dyDescent="0.25">
      <c r="A39" s="20" t="s">
        <v>292</v>
      </c>
      <c r="B39" s="20" t="s">
        <v>292</v>
      </c>
      <c r="C39" s="20" t="s">
        <v>352</v>
      </c>
      <c r="D39" s="21">
        <f>COUNTIF(Base!$F$2:$F$45,"*"&amp;B39&amp;"*")</f>
        <v>1</v>
      </c>
    </row>
    <row r="40" spans="1:4" x14ac:dyDescent="0.25">
      <c r="A40" s="22" t="s">
        <v>291</v>
      </c>
      <c r="B40" s="22" t="s">
        <v>291</v>
      </c>
      <c r="C40" s="22" t="s">
        <v>352</v>
      </c>
      <c r="D40" s="21">
        <f>COUNTIF(Base!$F$2:$F$45,"*"&amp;B40&amp;"*")</f>
        <v>1</v>
      </c>
    </row>
    <row r="41" spans="1:4" x14ac:dyDescent="0.25">
      <c r="A41" s="22" t="s">
        <v>260</v>
      </c>
      <c r="B41" s="22" t="s">
        <v>260</v>
      </c>
      <c r="C41" s="22" t="s">
        <v>350</v>
      </c>
      <c r="D41" s="21">
        <f>COUNTIF(Base!$F$2:$F$45,"*"&amp;B41&amp;"*")</f>
        <v>1</v>
      </c>
    </row>
    <row r="42" spans="1:4" x14ac:dyDescent="0.25">
      <c r="A42" s="20" t="s">
        <v>293</v>
      </c>
      <c r="B42" s="20" t="s">
        <v>293</v>
      </c>
      <c r="C42" s="20" t="s">
        <v>352</v>
      </c>
      <c r="D42" s="21">
        <f>COUNTIF(Base!$F$2:$F$45,"*"&amp;B42&amp;"*")</f>
        <v>1</v>
      </c>
    </row>
  </sheetData>
  <sortState xmlns:xlrd2="http://schemas.microsoft.com/office/spreadsheetml/2017/richdata2" ref="A2:D41">
    <sortCondition ref="A1:A41"/>
  </sortState>
  <pageMargins left="0.511811024" right="0.511811024" top="0.78740157499999996" bottom="0.78740157499999996" header="0.31496062000000002" footer="0.31496062000000002"/>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9CBC-C0B3-407D-BFDC-615FA4E92FA0}">
  <sheetPr>
    <tabColor theme="9"/>
  </sheetPr>
  <dimension ref="A1:B35"/>
  <sheetViews>
    <sheetView zoomScale="130" zoomScaleNormal="130" workbookViewId="0">
      <selection activeCell="C28" sqref="C28"/>
    </sheetView>
  </sheetViews>
  <sheetFormatPr defaultRowHeight="15" x14ac:dyDescent="0.25"/>
  <cols>
    <col min="1" max="1" width="27.5703125" customWidth="1"/>
    <col min="2" max="2" width="12.7109375" customWidth="1"/>
  </cols>
  <sheetData>
    <row r="1" spans="1:2" x14ac:dyDescent="0.25">
      <c r="A1" s="25" t="s">
        <v>413</v>
      </c>
      <c r="B1" s="26" t="s">
        <v>404</v>
      </c>
    </row>
    <row r="2" spans="1:2" x14ac:dyDescent="0.25">
      <c r="A2" s="27" t="s">
        <v>309</v>
      </c>
      <c r="B2" s="28">
        <f>COUNTIF(Base!$G$2:$G$45,"*"&amp;A2&amp;"*")</f>
        <v>19</v>
      </c>
    </row>
    <row r="3" spans="1:2" x14ac:dyDescent="0.25">
      <c r="A3" s="29" t="s">
        <v>300</v>
      </c>
      <c r="B3" s="30">
        <f>COUNTIF(Base!$G$2:$G$45,"*"&amp;A3&amp;"*")</f>
        <v>19</v>
      </c>
    </row>
    <row r="4" spans="1:2" x14ac:dyDescent="0.25">
      <c r="A4" s="29" t="s">
        <v>310</v>
      </c>
      <c r="B4" s="30">
        <f>COUNTIF(Base!$G$2:$G$45,"*"&amp;A4&amp;"*")</f>
        <v>12</v>
      </c>
    </row>
    <row r="5" spans="1:2" x14ac:dyDescent="0.25">
      <c r="A5" s="27" t="s">
        <v>299</v>
      </c>
      <c r="B5" s="28">
        <f>COUNTIF(Base!$G$2:$G$45,"*"&amp;A5&amp;"*")</f>
        <v>10</v>
      </c>
    </row>
    <row r="6" spans="1:2" x14ac:dyDescent="0.25">
      <c r="A6" s="29" t="s">
        <v>315</v>
      </c>
      <c r="B6" s="30">
        <f>COUNTIF(Base!$G$2:$G$45,"*"&amp;A6&amp;"*")</f>
        <v>8</v>
      </c>
    </row>
    <row r="7" spans="1:2" x14ac:dyDescent="0.25">
      <c r="A7" s="31" t="s">
        <v>308</v>
      </c>
      <c r="B7" s="28">
        <f>COUNTIF(Base!$G$2:$G$45,"*"&amp;A7&amp;"*")</f>
        <v>7</v>
      </c>
    </row>
    <row r="8" spans="1:2" x14ac:dyDescent="0.25">
      <c r="A8" s="31" t="s">
        <v>307</v>
      </c>
      <c r="B8" s="28">
        <f>COUNTIF(Base!$G$2:$G$45,"*"&amp;A8&amp;"*")</f>
        <v>7</v>
      </c>
    </row>
    <row r="9" spans="1:2" x14ac:dyDescent="0.25">
      <c r="A9" s="29" t="s">
        <v>311</v>
      </c>
      <c r="B9" s="30">
        <f>COUNTIF(Base!$G$2:$G$45,"*"&amp;A9&amp;"*")</f>
        <v>4</v>
      </c>
    </row>
    <row r="10" spans="1:2" x14ac:dyDescent="0.25">
      <c r="A10" s="27" t="s">
        <v>330</v>
      </c>
      <c r="B10" s="28">
        <f>COUNTIF(Base!$G$2:$G$45,"*"&amp;A10&amp;"*")</f>
        <v>4</v>
      </c>
    </row>
    <row r="11" spans="1:2" x14ac:dyDescent="0.25">
      <c r="A11" s="27" t="s">
        <v>322</v>
      </c>
      <c r="B11" s="28">
        <f>COUNTIF(Base!$G$2:$G$45,"*"&amp;A11&amp;"*")</f>
        <v>3</v>
      </c>
    </row>
    <row r="12" spans="1:2" x14ac:dyDescent="0.25">
      <c r="A12" s="29" t="s">
        <v>328</v>
      </c>
      <c r="B12" s="30">
        <f>COUNTIF(Base!$G$2:$G$45,"*"&amp;A12&amp;"*")</f>
        <v>3</v>
      </c>
    </row>
    <row r="13" spans="1:2" x14ac:dyDescent="0.25">
      <c r="A13" s="27" t="s">
        <v>305</v>
      </c>
      <c r="B13" s="28">
        <f>COUNTIF(Base!$G$2:$G$45,"*"&amp;A13&amp;"*")</f>
        <v>3</v>
      </c>
    </row>
    <row r="14" spans="1:2" x14ac:dyDescent="0.25">
      <c r="A14" s="29" t="s">
        <v>302</v>
      </c>
      <c r="B14" s="30">
        <f>COUNTIF(Base!$G$2:$G$45,"*"&amp;A14&amp;"*")</f>
        <v>3</v>
      </c>
    </row>
    <row r="15" spans="1:2" x14ac:dyDescent="0.25">
      <c r="A15" s="29" t="s">
        <v>325</v>
      </c>
      <c r="B15" s="30">
        <f>COUNTIF(Base!$G$2:$G$45,"*"&amp;A15&amp;"*")</f>
        <v>2</v>
      </c>
    </row>
    <row r="16" spans="1:2" x14ac:dyDescent="0.25">
      <c r="A16" s="27" t="s">
        <v>313</v>
      </c>
      <c r="B16" s="28">
        <f>COUNTIF(Base!$G$2:$G$45,"*"&amp;A16&amp;"*")</f>
        <v>2</v>
      </c>
    </row>
    <row r="17" spans="1:2" x14ac:dyDescent="0.25">
      <c r="A17" s="29" t="s">
        <v>329</v>
      </c>
      <c r="B17" s="30">
        <f>COUNTIF(Base!$G$2:$G$45,"*"&amp;A17&amp;"*")</f>
        <v>2</v>
      </c>
    </row>
    <row r="18" spans="1:2" x14ac:dyDescent="0.25">
      <c r="A18" s="29" t="s">
        <v>301</v>
      </c>
      <c r="B18" s="30">
        <f>COUNTIF(Base!$G$2:$G$45,"*"&amp;A18&amp;"*")</f>
        <v>1</v>
      </c>
    </row>
    <row r="19" spans="1:2" x14ac:dyDescent="0.25">
      <c r="A19" s="27" t="s">
        <v>323</v>
      </c>
      <c r="B19" s="28">
        <f>COUNTIF(Base!$G$2:$G$45,"*"&amp;A19&amp;"*")</f>
        <v>1</v>
      </c>
    </row>
    <row r="20" spans="1:2" x14ac:dyDescent="0.25">
      <c r="A20" s="29" t="s">
        <v>327</v>
      </c>
      <c r="B20" s="30">
        <f>COUNTIF(Base!$G$2:$G$45,"*"&amp;A20&amp;"*")</f>
        <v>1</v>
      </c>
    </row>
    <row r="21" spans="1:2" x14ac:dyDescent="0.25">
      <c r="A21" s="27" t="s">
        <v>304</v>
      </c>
      <c r="B21" s="28">
        <f>COUNTIF(Base!$G$2:$G$45,"*"&amp;A21&amp;"*")</f>
        <v>1</v>
      </c>
    </row>
    <row r="22" spans="1:2" x14ac:dyDescent="0.25">
      <c r="A22" s="29" t="s">
        <v>317</v>
      </c>
      <c r="B22" s="30">
        <f>COUNTIF(Base!$G$2:$G$45,"*"&amp;A22&amp;"*")</f>
        <v>1</v>
      </c>
    </row>
    <row r="23" spans="1:2" x14ac:dyDescent="0.25">
      <c r="A23" s="27" t="s">
        <v>312</v>
      </c>
      <c r="B23" s="28">
        <f>COUNTIF(Base!$G$2:$G$45,"*"&amp;A23&amp;"*")</f>
        <v>1</v>
      </c>
    </row>
    <row r="24" spans="1:2" x14ac:dyDescent="0.25">
      <c r="A24" s="29" t="s">
        <v>326</v>
      </c>
      <c r="B24" s="30">
        <f>COUNTIF(Base!$G$2:$G$45,"*"&amp;A24&amp;"*")</f>
        <v>1</v>
      </c>
    </row>
    <row r="25" spans="1:2" x14ac:dyDescent="0.25">
      <c r="A25" s="27" t="s">
        <v>324</v>
      </c>
      <c r="B25" s="28">
        <f>COUNTIF(Base!$G$2:$G$45,"*"&amp;A25&amp;"*")</f>
        <v>1</v>
      </c>
    </row>
    <row r="26" spans="1:2" x14ac:dyDescent="0.25">
      <c r="A26" s="27" t="s">
        <v>320</v>
      </c>
      <c r="B26" s="28">
        <f>COUNTIF(Base!$G$2:$G$45,"*"&amp;A26&amp;"*")</f>
        <v>1</v>
      </c>
    </row>
    <row r="27" spans="1:2" x14ac:dyDescent="0.25">
      <c r="A27" s="29" t="s">
        <v>321</v>
      </c>
      <c r="B27" s="30">
        <f>COUNTIF(Base!$G$2:$G$45,"*"&amp;A27&amp;"*")</f>
        <v>1</v>
      </c>
    </row>
    <row r="28" spans="1:2" x14ac:dyDescent="0.25">
      <c r="A28" s="27" t="s">
        <v>319</v>
      </c>
      <c r="B28" s="28">
        <f>COUNTIF(Base!$G$2:$G$45,"*"&amp;A28&amp;"*")</f>
        <v>1</v>
      </c>
    </row>
    <row r="29" spans="1:2" x14ac:dyDescent="0.25">
      <c r="A29" s="29" t="s">
        <v>318</v>
      </c>
      <c r="B29" s="30">
        <f>COUNTIF(Base!$G$2:$G$45,"*"&amp;A29&amp;"*")</f>
        <v>1</v>
      </c>
    </row>
    <row r="30" spans="1:2" x14ac:dyDescent="0.25">
      <c r="A30" s="27" t="s">
        <v>331</v>
      </c>
      <c r="B30" s="28">
        <f>COUNTIF(Base!$G$2:$G$45,"*"&amp;A30&amp;"*")</f>
        <v>1</v>
      </c>
    </row>
    <row r="31" spans="1:2" x14ac:dyDescent="0.25">
      <c r="A31" s="29" t="s">
        <v>314</v>
      </c>
      <c r="B31" s="30">
        <f>COUNTIF(Base!$G$2:$G$45,"*"&amp;A31&amp;"*")</f>
        <v>1</v>
      </c>
    </row>
    <row r="32" spans="1:2" x14ac:dyDescent="0.25">
      <c r="A32" s="27" t="s">
        <v>306</v>
      </c>
      <c r="B32" s="28">
        <f>COUNTIF(Base!$G$2:$G$45,"*"&amp;A32&amp;"*")</f>
        <v>1</v>
      </c>
    </row>
    <row r="33" spans="1:2" x14ac:dyDescent="0.25">
      <c r="A33" s="29" t="s">
        <v>303</v>
      </c>
      <c r="B33" s="30">
        <f>COUNTIF(Base!$G$2:$G$45,"*"&amp;A33&amp;"*")</f>
        <v>1</v>
      </c>
    </row>
    <row r="34" spans="1:2" x14ac:dyDescent="0.25">
      <c r="A34" s="32" t="s">
        <v>608</v>
      </c>
      <c r="B34" s="30">
        <f>COUNTIF(Base!$G$2:$G$45,"*"&amp;A34&amp;"*")</f>
        <v>1</v>
      </c>
    </row>
    <row r="35" spans="1:2" x14ac:dyDescent="0.25">
      <c r="A35" s="32" t="s">
        <v>609</v>
      </c>
      <c r="B35" s="30">
        <f>COUNTIF(Base!$G$2:$G$45,"*"&amp;A35&amp;"*")</f>
        <v>1</v>
      </c>
    </row>
  </sheetData>
  <sortState xmlns:xlrd2="http://schemas.microsoft.com/office/spreadsheetml/2017/richdata2" ref="A2:B33">
    <sortCondition descending="1" ref="B2:B33"/>
  </sortState>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FEE30-22BE-40D3-8976-FD98B68DBA7F}">
  <sheetPr>
    <tabColor theme="2"/>
  </sheetPr>
  <dimension ref="A1:C29"/>
  <sheetViews>
    <sheetView zoomScale="70" zoomScaleNormal="70" workbookViewId="0">
      <selection activeCell="G29" sqref="G29"/>
    </sheetView>
  </sheetViews>
  <sheetFormatPr defaultRowHeight="15" x14ac:dyDescent="0.25"/>
  <cols>
    <col min="1" max="1" width="40.28515625" customWidth="1"/>
    <col min="2" max="2" width="36.42578125" hidden="1" customWidth="1"/>
    <col min="3" max="3" width="14.140625" customWidth="1"/>
  </cols>
  <sheetData>
    <row r="1" spans="1:3" x14ac:dyDescent="0.25">
      <c r="A1" s="33" t="s">
        <v>412</v>
      </c>
      <c r="B1" s="33" t="s">
        <v>406</v>
      </c>
      <c r="C1" s="33" t="s">
        <v>404</v>
      </c>
    </row>
    <row r="2" spans="1:3" x14ac:dyDescent="0.25">
      <c r="A2" s="34" t="s">
        <v>414</v>
      </c>
      <c r="B2" s="34" t="s">
        <v>374</v>
      </c>
      <c r="C2" s="34">
        <f>COUNTIF(Base!$H$2:$H$45,"*"&amp;B2&amp;"*")</f>
        <v>43</v>
      </c>
    </row>
    <row r="3" spans="1:3" x14ac:dyDescent="0.25">
      <c r="A3" s="35" t="s">
        <v>415</v>
      </c>
      <c r="B3" s="35" t="s">
        <v>378</v>
      </c>
      <c r="C3" s="34">
        <f>COUNTIF(Base!$H$2:$H$45,"*"&amp;B3&amp;"*")</f>
        <v>17</v>
      </c>
    </row>
    <row r="4" spans="1:3" x14ac:dyDescent="0.25">
      <c r="A4" s="34" t="s">
        <v>416</v>
      </c>
      <c r="B4" s="34" t="s">
        <v>386</v>
      </c>
      <c r="C4" s="34">
        <f>COUNTIF(Base!$H$2:$H$45,"*"&amp;B4&amp;"*")</f>
        <v>13</v>
      </c>
    </row>
    <row r="5" spans="1:3" x14ac:dyDescent="0.25">
      <c r="A5" s="35" t="s">
        <v>417</v>
      </c>
      <c r="B5" s="35" t="s">
        <v>398</v>
      </c>
      <c r="C5" s="34">
        <f>COUNTIF(Base!$H$2:$H$45,"*"&amp;B5&amp;"*")</f>
        <v>9</v>
      </c>
    </row>
    <row r="6" spans="1:3" x14ac:dyDescent="0.25">
      <c r="A6" s="34" t="s">
        <v>369</v>
      </c>
      <c r="B6" s="34" t="s">
        <v>387</v>
      </c>
      <c r="C6" s="34">
        <f>COUNTIF(Base!$H$2:$H$45,"*"&amp;B6&amp;"*")</f>
        <v>8</v>
      </c>
    </row>
    <row r="7" spans="1:3" x14ac:dyDescent="0.25">
      <c r="A7" s="35" t="s">
        <v>371</v>
      </c>
      <c r="B7" s="35" t="s">
        <v>399</v>
      </c>
      <c r="C7" s="34">
        <f>COUNTIF(Base!$H$2:$H$45,"*"&amp;B7&amp;"*")</f>
        <v>6</v>
      </c>
    </row>
    <row r="8" spans="1:3" x14ac:dyDescent="0.25">
      <c r="A8" s="35" t="s">
        <v>418</v>
      </c>
      <c r="B8" s="35" t="s">
        <v>379</v>
      </c>
      <c r="C8" s="34">
        <f>COUNTIF(Base!$H$2:$H$45,"*"&amp;B8&amp;"*")</f>
        <v>5</v>
      </c>
    </row>
    <row r="9" spans="1:3" x14ac:dyDescent="0.25">
      <c r="A9" s="34" t="s">
        <v>419</v>
      </c>
      <c r="B9" s="34" t="s">
        <v>380</v>
      </c>
      <c r="C9" s="34">
        <f>COUNTIF(Base!$H$2:$H$45,"*"&amp;B9&amp;"*")</f>
        <v>5</v>
      </c>
    </row>
    <row r="10" spans="1:3" x14ac:dyDescent="0.25">
      <c r="A10" s="34" t="s">
        <v>420</v>
      </c>
      <c r="B10" s="34" t="s">
        <v>377</v>
      </c>
      <c r="C10" s="34">
        <f>COUNTIF(Base!$H$2:$H$45,"*"&amp;B10&amp;"*")</f>
        <v>3</v>
      </c>
    </row>
    <row r="11" spans="1:3" x14ac:dyDescent="0.25">
      <c r="A11" s="34" t="s">
        <v>423</v>
      </c>
      <c r="B11" s="34" t="s">
        <v>381</v>
      </c>
      <c r="C11" s="34">
        <f>COUNTIF(Base!$H$2:$H$45,"*"&amp;B11&amp;"*")</f>
        <v>3</v>
      </c>
    </row>
    <row r="12" spans="1:3" x14ac:dyDescent="0.25">
      <c r="A12" s="35" t="s">
        <v>424</v>
      </c>
      <c r="B12" s="35" t="s">
        <v>382</v>
      </c>
      <c r="C12" s="34">
        <f>COUNTIF(Base!$H$2:$H$45,"*"&amp;B12&amp;"*")</f>
        <v>3</v>
      </c>
    </row>
    <row r="13" spans="1:3" x14ac:dyDescent="0.25">
      <c r="A13" s="34" t="s">
        <v>373</v>
      </c>
      <c r="B13" s="34" t="s">
        <v>393</v>
      </c>
      <c r="C13" s="34">
        <f>COUNTIF(Base!$H$2:$H$45,"*"&amp;B13&amp;"*")</f>
        <v>3</v>
      </c>
    </row>
    <row r="14" spans="1:3" x14ac:dyDescent="0.25">
      <c r="A14" s="35" t="s">
        <v>421</v>
      </c>
      <c r="B14" s="35" t="s">
        <v>376</v>
      </c>
      <c r="C14" s="34">
        <f>COUNTIF(Base!$H$2:$H$45,"*"&amp;B14&amp;"*")</f>
        <v>2</v>
      </c>
    </row>
    <row r="15" spans="1:3" x14ac:dyDescent="0.25">
      <c r="A15" s="35" t="s">
        <v>372</v>
      </c>
      <c r="B15" s="35" t="s">
        <v>383</v>
      </c>
      <c r="C15" s="34">
        <f>COUNTIF(Base!$H$2:$H$45,"*"&amp;B15&amp;"*")</f>
        <v>2</v>
      </c>
    </row>
    <row r="16" spans="1:3" x14ac:dyDescent="0.25">
      <c r="A16" s="34" t="s">
        <v>400</v>
      </c>
      <c r="B16" s="34" t="s">
        <v>400</v>
      </c>
      <c r="C16" s="34">
        <f>COUNTIF(Base!$H$2:$H$45,"*"&amp;B16&amp;"*")</f>
        <v>1</v>
      </c>
    </row>
    <row r="17" spans="1:3" x14ac:dyDescent="0.25">
      <c r="A17" s="35" t="s">
        <v>422</v>
      </c>
      <c r="B17" s="35" t="s">
        <v>389</v>
      </c>
      <c r="C17" s="34">
        <f>COUNTIF(Base!$H$2:$H$45,"*"&amp;B17&amp;"*")</f>
        <v>1</v>
      </c>
    </row>
    <row r="18" spans="1:3" x14ac:dyDescent="0.25">
      <c r="A18" s="34" t="s">
        <v>425</v>
      </c>
      <c r="B18" s="34" t="s">
        <v>390</v>
      </c>
      <c r="C18" s="34">
        <f>COUNTIF(Base!$H$2:$H$45,"*"&amp;B18&amp;"*")</f>
        <v>1</v>
      </c>
    </row>
    <row r="19" spans="1:3" x14ac:dyDescent="0.25">
      <c r="A19" s="35" t="s">
        <v>426</v>
      </c>
      <c r="B19" s="35" t="s">
        <v>385</v>
      </c>
      <c r="C19" s="34">
        <f>COUNTIF(Base!$H$2:$H$45,"*"&amp;B19&amp;"*")</f>
        <v>1</v>
      </c>
    </row>
    <row r="20" spans="1:3" x14ac:dyDescent="0.25">
      <c r="A20" s="34" t="s">
        <v>427</v>
      </c>
      <c r="B20" s="34" t="s">
        <v>388</v>
      </c>
      <c r="C20" s="34">
        <f>COUNTIF(Base!$H$2:$H$45,"*"&amp;B20&amp;"*")</f>
        <v>1</v>
      </c>
    </row>
    <row r="21" spans="1:3" x14ac:dyDescent="0.25">
      <c r="A21" s="35" t="s">
        <v>428</v>
      </c>
      <c r="B21" s="35" t="s">
        <v>391</v>
      </c>
      <c r="C21" s="34">
        <f>COUNTIF(Base!$H$2:$H$45,"*"&amp;B21&amp;"*")</f>
        <v>1</v>
      </c>
    </row>
    <row r="22" spans="1:3" x14ac:dyDescent="0.25">
      <c r="A22" s="34" t="s">
        <v>429</v>
      </c>
      <c r="B22" s="34" t="s">
        <v>392</v>
      </c>
      <c r="C22" s="34">
        <f>COUNTIF(Base!$H$2:$H$45,"*"&amp;B22&amp;"*")</f>
        <v>1</v>
      </c>
    </row>
    <row r="23" spans="1:3" x14ac:dyDescent="0.25">
      <c r="A23" s="34" t="s">
        <v>430</v>
      </c>
      <c r="B23" s="34" t="s">
        <v>384</v>
      </c>
      <c r="C23" s="34">
        <f>COUNTIF(Base!$H$2:$H$45,"*"&amp;B23&amp;"*")</f>
        <v>1</v>
      </c>
    </row>
    <row r="24" spans="1:3" x14ac:dyDescent="0.25">
      <c r="A24" s="35" t="s">
        <v>370</v>
      </c>
      <c r="B24" s="35" t="s">
        <v>370</v>
      </c>
      <c r="C24" s="34">
        <f>COUNTIF(Base!$H$2:$H$45,"*"&amp;B24&amp;"*")</f>
        <v>1</v>
      </c>
    </row>
    <row r="25" spans="1:3" x14ac:dyDescent="0.25">
      <c r="A25" s="35" t="s">
        <v>368</v>
      </c>
      <c r="B25" s="35" t="s">
        <v>368</v>
      </c>
      <c r="C25" s="34">
        <f>COUNTIF(Base!$H$2:$H$45,"*"&amp;B25&amp;"*")</f>
        <v>1</v>
      </c>
    </row>
    <row r="26" spans="1:3" x14ac:dyDescent="0.25">
      <c r="A26" s="36" t="s">
        <v>401</v>
      </c>
      <c r="B26" s="36" t="s">
        <v>401</v>
      </c>
      <c r="C26" s="34">
        <f>COUNTIF(Base!$H$2:$H$45,"*"&amp;B26&amp;"*")</f>
        <v>1</v>
      </c>
    </row>
    <row r="27" spans="1:3" x14ac:dyDescent="0.25">
      <c r="A27" s="35" t="s">
        <v>402</v>
      </c>
      <c r="B27" s="35" t="s">
        <v>402</v>
      </c>
      <c r="C27" s="34">
        <f>COUNTIF(Base!$H$2:$H$45,"*"&amp;B27&amp;"*")</f>
        <v>1</v>
      </c>
    </row>
    <row r="28" spans="1:3" x14ac:dyDescent="0.25">
      <c r="A28" s="35" t="s">
        <v>597</v>
      </c>
      <c r="B28" s="35" t="s">
        <v>597</v>
      </c>
      <c r="C28" s="34">
        <f>COUNTIF(Base!$H$2:$H$45,"*"&amp;B28&amp;"*")</f>
        <v>1</v>
      </c>
    </row>
    <row r="29" spans="1:3" x14ac:dyDescent="0.25">
      <c r="A29" s="35" t="s">
        <v>598</v>
      </c>
      <c r="B29" s="35" t="s">
        <v>598</v>
      </c>
      <c r="C29" s="34">
        <f>COUNTIF(Base!$H$2:$H$45,"*"&amp;B29&amp;"*")</f>
        <v>1</v>
      </c>
    </row>
  </sheetData>
  <sortState xmlns:xlrd2="http://schemas.microsoft.com/office/spreadsheetml/2017/richdata2" ref="A2:C27">
    <sortCondition descending="1" ref="C2:C27"/>
  </sortState>
  <pageMargins left="0.511811024" right="0.511811024" top="0.78740157499999996" bottom="0.78740157499999996" header="0.31496062000000002" footer="0.31496062000000002"/>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883144-E606-4B0B-9E57-5CE0D88F43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Artigos</vt:lpstr>
      <vt:lpstr>Base</vt:lpstr>
      <vt:lpstr>Arquiteturas Base</vt:lpstr>
      <vt:lpstr>Detectores Específicos</vt:lpstr>
      <vt:lpstr>Geradores</vt:lpstr>
      <vt:lpstr>Datasets</vt:lpstr>
      <vt:lpstr>Métricas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Otávio Malta</cp:lastModifiedBy>
  <cp:lastPrinted>2025-11-24T19:30:02Z</cp:lastPrinted>
  <dcterms:created xsi:type="dcterms:W3CDTF">2025-07-04T04:03:08Z</dcterms:created>
  <dcterms:modified xsi:type="dcterms:W3CDTF">2025-11-24T19:30:42Z</dcterms:modified>
</cp:coreProperties>
</file>